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CER\OneDrive\Desktop\Payroll program\"/>
    </mc:Choice>
  </mc:AlternateContent>
  <xr:revisionPtr revIDLastSave="0" documentId="13_ncr:1_{D17AA575-3890-4B38-BF1D-DCE052A475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Sheet1!$AG$2:$AG$184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7" i="1" l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S92" i="1" s="1"/>
  <c r="R91" i="1"/>
  <c r="S91" i="1" s="1"/>
  <c r="R90" i="1"/>
  <c r="S90" i="1" s="1"/>
  <c r="R89" i="1"/>
  <c r="S89" i="1" s="1"/>
  <c r="R88" i="1"/>
  <c r="S88" i="1" s="1"/>
  <c r="R87" i="1"/>
  <c r="S87" i="1" s="1"/>
  <c r="R86" i="1"/>
  <c r="S86" i="1" s="1"/>
  <c r="R85" i="1"/>
  <c r="S85" i="1" s="1"/>
  <c r="R84" i="1"/>
  <c r="S84" i="1" s="1"/>
  <c r="R83" i="1"/>
  <c r="S83" i="1" s="1"/>
  <c r="R82" i="1"/>
  <c r="S82" i="1" s="1"/>
  <c r="R81" i="1"/>
  <c r="S81" i="1" s="1"/>
  <c r="R80" i="1"/>
  <c r="S80" i="1" s="1"/>
  <c r="R79" i="1"/>
  <c r="S79" i="1" s="1"/>
  <c r="R78" i="1"/>
  <c r="S78" i="1" s="1"/>
  <c r="R77" i="1"/>
  <c r="S77" i="1" s="1"/>
  <c r="R76" i="1"/>
  <c r="S76" i="1" s="1"/>
  <c r="R75" i="1"/>
  <c r="S75" i="1" s="1"/>
  <c r="R74" i="1"/>
  <c r="S74" i="1" s="1"/>
  <c r="R73" i="1"/>
  <c r="S73" i="1" s="1"/>
  <c r="R72" i="1"/>
  <c r="S72" i="1" s="1"/>
  <c r="R71" i="1"/>
  <c r="S71" i="1" s="1"/>
  <c r="R70" i="1"/>
  <c r="S70" i="1" s="1"/>
  <c r="R69" i="1"/>
  <c r="S69" i="1" s="1"/>
  <c r="R68" i="1"/>
  <c r="S68" i="1" s="1"/>
  <c r="R67" i="1"/>
  <c r="S67" i="1" s="1"/>
  <c r="R66" i="1"/>
  <c r="S66" i="1" s="1"/>
  <c r="R65" i="1"/>
  <c r="S65" i="1" s="1"/>
  <c r="R64" i="1"/>
  <c r="S64" i="1" s="1"/>
  <c r="R63" i="1"/>
  <c r="S63" i="1" s="1"/>
  <c r="R62" i="1"/>
  <c r="S62" i="1" s="1"/>
  <c r="R61" i="1"/>
  <c r="S61" i="1" s="1"/>
  <c r="R60" i="1"/>
  <c r="S60" i="1" s="1"/>
  <c r="R59" i="1"/>
  <c r="S59" i="1" s="1"/>
  <c r="R58" i="1"/>
  <c r="S58" i="1" s="1"/>
  <c r="R57" i="1"/>
  <c r="S57" i="1" s="1"/>
  <c r="R56" i="1"/>
  <c r="S56" i="1" s="1"/>
  <c r="R55" i="1"/>
  <c r="S55" i="1" s="1"/>
  <c r="R54" i="1"/>
  <c r="S54" i="1" s="1"/>
  <c r="R53" i="1"/>
  <c r="S53" i="1" s="1"/>
  <c r="R52" i="1"/>
  <c r="S52" i="1" s="1"/>
  <c r="R51" i="1"/>
  <c r="S51" i="1" s="1"/>
  <c r="R50" i="1"/>
  <c r="S50" i="1" s="1"/>
  <c r="R49" i="1"/>
  <c r="S49" i="1" s="1"/>
  <c r="R48" i="1"/>
  <c r="S48" i="1" s="1"/>
  <c r="R47" i="1"/>
  <c r="S47" i="1" s="1"/>
  <c r="R46" i="1"/>
  <c r="S46" i="1" s="1"/>
  <c r="R45" i="1"/>
  <c r="S45" i="1" s="1"/>
  <c r="R44" i="1"/>
  <c r="S44" i="1" s="1"/>
  <c r="R43" i="1"/>
  <c r="S43" i="1" s="1"/>
  <c r="R42" i="1"/>
  <c r="S42" i="1" s="1"/>
  <c r="R41" i="1"/>
  <c r="S41" i="1" s="1"/>
  <c r="R40" i="1"/>
  <c r="S40" i="1" s="1"/>
  <c r="R39" i="1"/>
  <c r="S39" i="1" s="1"/>
  <c r="R38" i="1"/>
  <c r="S38" i="1" s="1"/>
  <c r="R37" i="1"/>
  <c r="S37" i="1" s="1"/>
  <c r="R36" i="1"/>
  <c r="S36" i="1" s="1"/>
  <c r="R35" i="1"/>
  <c r="S35" i="1" s="1"/>
  <c r="R34" i="1"/>
  <c r="S34" i="1" s="1"/>
  <c r="R33" i="1"/>
  <c r="S33" i="1" s="1"/>
  <c r="R32" i="1"/>
  <c r="S32" i="1" s="1"/>
  <c r="R31" i="1"/>
  <c r="S31" i="1" s="1"/>
  <c r="R30" i="1"/>
  <c r="S30" i="1" s="1"/>
  <c r="R29" i="1"/>
  <c r="S29" i="1" s="1"/>
  <c r="R28" i="1"/>
  <c r="S28" i="1" s="1"/>
  <c r="R27" i="1"/>
  <c r="S27" i="1" s="1"/>
  <c r="R26" i="1"/>
  <c r="S26" i="1" s="1"/>
  <c r="R25" i="1"/>
  <c r="S25" i="1" s="1"/>
  <c r="R24" i="1"/>
  <c r="S24" i="1" s="1"/>
  <c r="R23" i="1"/>
  <c r="S23" i="1" s="1"/>
  <c r="R22" i="1"/>
  <c r="S22" i="1" s="1"/>
  <c r="R21" i="1"/>
  <c r="S21" i="1" s="1"/>
  <c r="R20" i="1"/>
  <c r="S20" i="1" s="1"/>
  <c r="R19" i="1"/>
  <c r="S19" i="1" s="1"/>
  <c r="R18" i="1"/>
  <c r="S18" i="1" s="1"/>
  <c r="R17" i="1"/>
  <c r="S17" i="1" s="1"/>
  <c r="R16" i="1"/>
  <c r="S16" i="1" s="1"/>
  <c r="R15" i="1"/>
  <c r="S15" i="1" s="1"/>
  <c r="R14" i="1"/>
  <c r="S14" i="1" s="1"/>
  <c r="R13" i="1"/>
  <c r="S13" i="1" s="1"/>
  <c r="R12" i="1"/>
  <c r="S12" i="1" s="1"/>
  <c r="R11" i="1"/>
  <c r="S11" i="1" s="1"/>
  <c r="R10" i="1"/>
  <c r="S10" i="1" s="1"/>
  <c r="R9" i="1"/>
  <c r="S9" i="1" s="1"/>
  <c r="R8" i="1"/>
  <c r="S8" i="1" s="1"/>
  <c r="R7" i="1"/>
  <c r="S7" i="1" s="1"/>
  <c r="R6" i="1"/>
  <c r="S6" i="1" s="1"/>
  <c r="R5" i="1"/>
  <c r="S5" i="1" s="1"/>
  <c r="R4" i="1"/>
  <c r="S4" i="1" s="1"/>
  <c r="R3" i="1"/>
  <c r="S3" i="1" s="1"/>
</calcChain>
</file>

<file path=xl/sharedStrings.xml><?xml version="1.0" encoding="utf-8"?>
<sst xmlns="http://schemas.openxmlformats.org/spreadsheetml/2006/main" count="2516" uniqueCount="1511">
  <si>
    <t>Employee No.</t>
  </si>
  <si>
    <t>N/T</t>
  </si>
  <si>
    <t>First Name</t>
  </si>
  <si>
    <t>Middle Name</t>
  </si>
  <si>
    <t>Last Name</t>
  </si>
  <si>
    <t>Jr./Sr./II/etc.</t>
  </si>
  <si>
    <t>Full Name</t>
  </si>
  <si>
    <t>Address</t>
  </si>
  <si>
    <t>City/Provice</t>
  </si>
  <si>
    <t>Date of Birth</t>
  </si>
  <si>
    <t>Employment Date</t>
  </si>
  <si>
    <t>Regularization Date</t>
  </si>
  <si>
    <t>Position</t>
  </si>
  <si>
    <t>Assignment</t>
  </si>
  <si>
    <t>Salary Grade</t>
  </si>
  <si>
    <t>Basic Pay</t>
  </si>
  <si>
    <t>Daily Rate</t>
  </si>
  <si>
    <t>Hourly Rate</t>
  </si>
  <si>
    <t>Status</t>
  </si>
  <si>
    <t>SSS No.</t>
  </si>
  <si>
    <t>PHIC No.</t>
  </si>
  <si>
    <t>HDMF No.</t>
  </si>
  <si>
    <t>TIN</t>
  </si>
  <si>
    <t>Degree</t>
  </si>
  <si>
    <t>Allowance Regular</t>
  </si>
  <si>
    <t>Resignation Date</t>
  </si>
  <si>
    <t>BPI ATM Acct No.</t>
  </si>
  <si>
    <t>BPI Employee Code</t>
  </si>
  <si>
    <t>PIN</t>
  </si>
  <si>
    <t xml:space="preserve">PERAA ID </t>
  </si>
  <si>
    <t>Biometrics ID</t>
  </si>
  <si>
    <t>Employment Status</t>
  </si>
  <si>
    <t>Tenure Status</t>
  </si>
  <si>
    <t>Daily Rate Divisor</t>
  </si>
  <si>
    <t>LET Passer</t>
  </si>
  <si>
    <t>SMS-0583</t>
  </si>
  <si>
    <t>SMS-0061</t>
  </si>
  <si>
    <t>SMS-2180</t>
  </si>
  <si>
    <t>SMS-2435</t>
  </si>
  <si>
    <t>SMS-2020</t>
  </si>
  <si>
    <t>SMS-2063</t>
  </si>
  <si>
    <t>SMS-2448</t>
  </si>
  <si>
    <t>SMS-2019</t>
  </si>
  <si>
    <t>SMS-2422</t>
  </si>
  <si>
    <t>SMS-0902</t>
  </si>
  <si>
    <t>SMS-2223</t>
  </si>
  <si>
    <t>SMS-2064</t>
  </si>
  <si>
    <t>SMS-1862</t>
  </si>
  <si>
    <t>SMS-2433</t>
  </si>
  <si>
    <t>SMS-2125</t>
  </si>
  <si>
    <t>SMS-2256</t>
  </si>
  <si>
    <t>SMS-2127</t>
  </si>
  <si>
    <t>SMS-1801</t>
  </si>
  <si>
    <t>SMS-0584</t>
  </si>
  <si>
    <t>SMS-2270</t>
  </si>
  <si>
    <t>SMS-2434</t>
  </si>
  <si>
    <t>SMS-2154</t>
  </si>
  <si>
    <t>SMS-2409</t>
  </si>
  <si>
    <t>SMS-2260</t>
  </si>
  <si>
    <t>SMS-2394</t>
  </si>
  <si>
    <t>SMS-0968</t>
  </si>
  <si>
    <t>SMS-1806</t>
  </si>
  <si>
    <t>SMS-2441</t>
  </si>
  <si>
    <t>SMS-2261</t>
  </si>
  <si>
    <t>SMS-1423</t>
  </si>
  <si>
    <t>SMS-1265</t>
  </si>
  <si>
    <t>SMS-2129</t>
  </si>
  <si>
    <t>SMS-1095</t>
  </si>
  <si>
    <t>SMS-2308</t>
  </si>
  <si>
    <t>SMS-2268</t>
  </si>
  <si>
    <t>SMS-2390</t>
  </si>
  <si>
    <t>SMS-0049</t>
  </si>
  <si>
    <t>SMS-2181</t>
  </si>
  <si>
    <t>SMS-0691</t>
  </si>
  <si>
    <t>SMS-2131</t>
  </si>
  <si>
    <t>SMS-0826</t>
  </si>
  <si>
    <t>SMS-2442</t>
  </si>
  <si>
    <t>SMS-2195</t>
  </si>
  <si>
    <t>SMS-2436</t>
  </si>
  <si>
    <t>SMS-0792</t>
  </si>
  <si>
    <t>SMS-0077</t>
  </si>
  <si>
    <t>SMS-1098</t>
  </si>
  <si>
    <t>SMS-0069</t>
  </si>
  <si>
    <t>SMS-2397</t>
  </si>
  <si>
    <t>SMS-2321</t>
  </si>
  <si>
    <t>SMS-1426</t>
  </si>
  <si>
    <t>SMS-2391</t>
  </si>
  <si>
    <t>SMS-1934</t>
  </si>
  <si>
    <t>SMS-2408</t>
  </si>
  <si>
    <t>SMS-2134</t>
  </si>
  <si>
    <t>SMS-2269</t>
  </si>
  <si>
    <t>SMS-2322</t>
  </si>
  <si>
    <t>SMS-1427</t>
  </si>
  <si>
    <t>SMS-2263</t>
  </si>
  <si>
    <t>SMS-2271</t>
  </si>
  <si>
    <t>SMS-1606</t>
  </si>
  <si>
    <t>SMS-1103</t>
  </si>
  <si>
    <t>SMS-0048</t>
  </si>
  <si>
    <t>SMS-2179</t>
  </si>
  <si>
    <t>SMS-1290</t>
  </si>
  <si>
    <t>VERGEL</t>
  </si>
  <si>
    <t>BRENDA</t>
  </si>
  <si>
    <t>JOSHUA</t>
  </si>
  <si>
    <t>LERI</t>
  </si>
  <si>
    <t>ANDRESSA</t>
  </si>
  <si>
    <t>PRINCE LOYD</t>
  </si>
  <si>
    <t>MARCIA</t>
  </si>
  <si>
    <t>JAMILAH</t>
  </si>
  <si>
    <t>EUNICE</t>
  </si>
  <si>
    <t>LANIE</t>
  </si>
  <si>
    <t>SYRELLE JOY</t>
  </si>
  <si>
    <t>CLAIRE ANN</t>
  </si>
  <si>
    <t>RAYMOND JHON</t>
  </si>
  <si>
    <t>CHARIZA NICOLE</t>
  </si>
  <si>
    <t>HAZEL</t>
  </si>
  <si>
    <t>RENELYN</t>
  </si>
  <si>
    <t>EUFRAH KEEM</t>
  </si>
  <si>
    <t>ILYNE</t>
  </si>
  <si>
    <t>MELVIN</t>
  </si>
  <si>
    <t>ROSEMARIE</t>
  </si>
  <si>
    <t>JHUDIEL VALERIE</t>
  </si>
  <si>
    <t>BRYEN JADE</t>
  </si>
  <si>
    <t>ELLA JANE</t>
  </si>
  <si>
    <t>LIZETTE ANNE</t>
  </si>
  <si>
    <t>KARILL</t>
  </si>
  <si>
    <t>EMILIANA</t>
  </si>
  <si>
    <t>EDNA</t>
  </si>
  <si>
    <t>CHRISTIAN ALLEN</t>
  </si>
  <si>
    <t>JENNY</t>
  </si>
  <si>
    <t>KENNETH</t>
  </si>
  <si>
    <t>JESSAMAY</t>
  </si>
  <si>
    <t>PATRICIA MAE</t>
  </si>
  <si>
    <t>APOLINARIO</t>
  </si>
  <si>
    <t>MARIA ANNA FRANCESCA</t>
  </si>
  <si>
    <t>MICO</t>
  </si>
  <si>
    <t>NIEJAY</t>
  </si>
  <si>
    <t>JAYNE</t>
  </si>
  <si>
    <t>GERLIE</t>
  </si>
  <si>
    <t>MA. CECILIA</t>
  </si>
  <si>
    <t>CHEZKA MARIE</t>
  </si>
  <si>
    <t>JULIE CARINA</t>
  </si>
  <si>
    <t>JENNA LOU</t>
  </si>
  <si>
    <t>RAYMART</t>
  </si>
  <si>
    <t>ERICA MAE</t>
  </si>
  <si>
    <t>PORCESO</t>
  </si>
  <si>
    <t>CARMEN</t>
  </si>
  <si>
    <t>MARICRIS</t>
  </si>
  <si>
    <t>GERALDINE</t>
  </si>
  <si>
    <t>KRISTOFFER CARLOS</t>
  </si>
  <si>
    <t>CHONA</t>
  </si>
  <si>
    <t>ANGIE</t>
  </si>
  <si>
    <t>JOANNA MARIE</t>
  </si>
  <si>
    <t>MA. CRISTINA</t>
  </si>
  <si>
    <t>CATHERINE</t>
  </si>
  <si>
    <t>NELO JAN</t>
  </si>
  <si>
    <t>MAICA</t>
  </si>
  <si>
    <t>CRIS-EVER</t>
  </si>
  <si>
    <t>JESEL</t>
  </si>
  <si>
    <t>RUBIE ROSE</t>
  </si>
  <si>
    <t>ALICE</t>
  </si>
  <si>
    <t>JOYCE ANNE</t>
  </si>
  <si>
    <t>EDSON</t>
  </si>
  <si>
    <t>JOVY</t>
  </si>
  <si>
    <t>KIMBERLY</t>
  </si>
  <si>
    <t>RACHEL</t>
  </si>
  <si>
    <t>ABALOS</t>
  </si>
  <si>
    <t>ABELGOS</t>
  </si>
  <si>
    <t>ALCANTARA</t>
  </si>
  <si>
    <t>ALILIRAN</t>
  </si>
  <si>
    <t>AMOGUIS</t>
  </si>
  <si>
    <t>ARANZASO</t>
  </si>
  <si>
    <t>BAUTISTA</t>
  </si>
  <si>
    <t>BELLO</t>
  </si>
  <si>
    <t>BENAVENTE</t>
  </si>
  <si>
    <t>BONGANCISO</t>
  </si>
  <si>
    <t>BOSE</t>
  </si>
  <si>
    <t>CAASI</t>
  </si>
  <si>
    <t>CABINTOY</t>
  </si>
  <si>
    <t>CANOY</t>
  </si>
  <si>
    <t>CAS</t>
  </si>
  <si>
    <t>CERVANTES</t>
  </si>
  <si>
    <t>CEZAR</t>
  </si>
  <si>
    <t>CULILI</t>
  </si>
  <si>
    <t>DARASIN</t>
  </si>
  <si>
    <t>DON</t>
  </si>
  <si>
    <t>FABRO</t>
  </si>
  <si>
    <t>FALOGME</t>
  </si>
  <si>
    <t>FILEZELDA</t>
  </si>
  <si>
    <t>FORBES</t>
  </si>
  <si>
    <t>GALFO</t>
  </si>
  <si>
    <t>GAMMAD</t>
  </si>
  <si>
    <t>GANNABAN</t>
  </si>
  <si>
    <t>GERALDO</t>
  </si>
  <si>
    <t>GERONA</t>
  </si>
  <si>
    <t>ILANO</t>
  </si>
  <si>
    <t>JABIEN</t>
  </si>
  <si>
    <t>JUANGCO</t>
  </si>
  <si>
    <t>LALUSIN</t>
  </si>
  <si>
    <t>LANDEZA</t>
  </si>
  <si>
    <t>LANZA</t>
  </si>
  <si>
    <t>LLAGAS</t>
  </si>
  <si>
    <t>MANUEL</t>
  </si>
  <si>
    <t>MEDALLON</t>
  </si>
  <si>
    <t>MENDEZ</t>
  </si>
  <si>
    <t>MENDOZA</t>
  </si>
  <si>
    <t>MONTOYA</t>
  </si>
  <si>
    <t>NAGAS</t>
  </si>
  <si>
    <t>NAZARENO</t>
  </si>
  <si>
    <t>OGATIA</t>
  </si>
  <si>
    <t>PERALTA</t>
  </si>
  <si>
    <t>PEREZ</t>
  </si>
  <si>
    <t>PONCE</t>
  </si>
  <si>
    <t>PURISIMA</t>
  </si>
  <si>
    <t>RELENTE</t>
  </si>
  <si>
    <t>REYES</t>
  </si>
  <si>
    <t>ROMERO</t>
  </si>
  <si>
    <t>ROSAS</t>
  </si>
  <si>
    <t>ROSELLO</t>
  </si>
  <si>
    <t>SANIEL</t>
  </si>
  <si>
    <t>SAYSON</t>
  </si>
  <si>
    <t>SORIANO</t>
  </si>
  <si>
    <t>SULIT</t>
  </si>
  <si>
    <t>TAGANNA</t>
  </si>
  <si>
    <t>TANGLAO</t>
  </si>
  <si>
    <t>TAYABEN</t>
  </si>
  <si>
    <t>TOTANES</t>
  </si>
  <si>
    <t>TRADIO</t>
  </si>
  <si>
    <t>UMALI</t>
  </si>
  <si>
    <t>VICENTE</t>
  </si>
  <si>
    <t>VICTORINO</t>
  </si>
  <si>
    <t>VILLANUEVA</t>
  </si>
  <si>
    <t>T</t>
  </si>
  <si>
    <t>MATRIZ</t>
  </si>
  <si>
    <t>VELASCO</t>
  </si>
  <si>
    <t>PEPA</t>
  </si>
  <si>
    <t>CERENADO</t>
  </si>
  <si>
    <t>NOEMI JANE</t>
  </si>
  <si>
    <t>BELEN</t>
  </si>
  <si>
    <t>AMBON</t>
  </si>
  <si>
    <t>MABIDO</t>
  </si>
  <si>
    <t>FLORIE MAYE</t>
  </si>
  <si>
    <t>LINGAY</t>
  </si>
  <si>
    <t>ANTONIO</t>
  </si>
  <si>
    <t>JEAN CARLO</t>
  </si>
  <si>
    <t>BUCAS</t>
  </si>
  <si>
    <t>BATAC</t>
  </si>
  <si>
    <t>MULINGBAYAN</t>
  </si>
  <si>
    <t>GUBALLO</t>
  </si>
  <si>
    <t>HERNANDO</t>
  </si>
  <si>
    <t>MELINDA</t>
  </si>
  <si>
    <t>PARDO</t>
  </si>
  <si>
    <t>BINAUHAN</t>
  </si>
  <si>
    <t>VILLARMA</t>
  </si>
  <si>
    <t>REMOLONA</t>
  </si>
  <si>
    <t>RELADOR</t>
  </si>
  <si>
    <t>CAMAMA</t>
  </si>
  <si>
    <t>AMULAR</t>
  </si>
  <si>
    <t>LIEZLE</t>
  </si>
  <si>
    <t>CANCERAN</t>
  </si>
  <si>
    <t>BAGUILAN</t>
  </si>
  <si>
    <t>JULIANAH</t>
  </si>
  <si>
    <t>TRINA</t>
  </si>
  <si>
    <t>REPUYA</t>
  </si>
  <si>
    <t>CANDELARIA</t>
  </si>
  <si>
    <t>MAYACYAC</t>
  </si>
  <si>
    <t>BARRAMEDA</t>
  </si>
  <si>
    <t>OCCIDENTAL</t>
  </si>
  <si>
    <t>PADIDA</t>
  </si>
  <si>
    <t>GUPO</t>
  </si>
  <si>
    <t>JOHN KARLO</t>
  </si>
  <si>
    <t>CHAVENIA</t>
  </si>
  <si>
    <t>CHUMACERA</t>
  </si>
  <si>
    <t>JANETH</t>
  </si>
  <si>
    <t>CRUZPE</t>
  </si>
  <si>
    <t>MALTO</t>
  </si>
  <si>
    <t>JAY-AR</t>
  </si>
  <si>
    <t>ONDE</t>
  </si>
  <si>
    <t>DELA SERNA</t>
  </si>
  <si>
    <t>ARTIENDA</t>
  </si>
  <si>
    <t>SALVADOR</t>
  </si>
  <si>
    <t>MALLA</t>
  </si>
  <si>
    <t>BERREROS</t>
  </si>
  <si>
    <t>GUERRERO</t>
  </si>
  <si>
    <t>BETAY</t>
  </si>
  <si>
    <t>MABORRANG</t>
  </si>
  <si>
    <t>PALMERO</t>
  </si>
  <si>
    <t>DOLLESIN</t>
  </si>
  <si>
    <t>FRANCIS JEMAN</t>
  </si>
  <si>
    <t>CIUDAD</t>
  </si>
  <si>
    <t>GORDO</t>
  </si>
  <si>
    <t>MICHELLE</t>
  </si>
  <si>
    <t>DAUNA</t>
  </si>
  <si>
    <t>IGUID</t>
  </si>
  <si>
    <t>DUMAGAT</t>
  </si>
  <si>
    <t>BRAZAS</t>
  </si>
  <si>
    <t>LEANDRO</t>
  </si>
  <si>
    <t>GUTIERREZ</t>
  </si>
  <si>
    <t>JERIOS</t>
  </si>
  <si>
    <t>JASMINE LHEYAN</t>
  </si>
  <si>
    <t>LACASTE</t>
  </si>
  <si>
    <t>CAMACHO</t>
  </si>
  <si>
    <t>VIGAL</t>
  </si>
  <si>
    <t>ARCULLO</t>
  </si>
  <si>
    <t>NIZHA MARIE</t>
  </si>
  <si>
    <t>ROQUE</t>
  </si>
  <si>
    <t>LINDO</t>
  </si>
  <si>
    <t>MACALINDONG</t>
  </si>
  <si>
    <t>VENTAYEN</t>
  </si>
  <si>
    <t>APRIL ANN</t>
  </si>
  <si>
    <t>MIÑON</t>
  </si>
  <si>
    <t>MACATOL</t>
  </si>
  <si>
    <t>STO. DOMINGO</t>
  </si>
  <si>
    <t>TORRES</t>
  </si>
  <si>
    <t>ERNESTO</t>
  </si>
  <si>
    <t>RAMOS</t>
  </si>
  <si>
    <t>MONTEMOR</t>
  </si>
  <si>
    <t>III</t>
  </si>
  <si>
    <t>XYRILLE</t>
  </si>
  <si>
    <t>MERETE</t>
  </si>
  <si>
    <t>ESTEPA</t>
  </si>
  <si>
    <t>MILLANO</t>
  </si>
  <si>
    <t>AYA MAE</t>
  </si>
  <si>
    <t>OLILI</t>
  </si>
  <si>
    <t>FLORENCE GENEVIEVE</t>
  </si>
  <si>
    <t>APELADO</t>
  </si>
  <si>
    <t>PAGADORA</t>
  </si>
  <si>
    <t>EILRON LOUISE</t>
  </si>
  <si>
    <t>ROSALES</t>
  </si>
  <si>
    <t>PE</t>
  </si>
  <si>
    <t>Abalos, Vergel Velasco</t>
  </si>
  <si>
    <t xml:space="preserve">Abelgos, Brenda </t>
  </si>
  <si>
    <t>Alcantara, Joshua Pepa</t>
  </si>
  <si>
    <t>Aliliran, Leri Cerenado</t>
  </si>
  <si>
    <t>Ambon, Noemi Jane Belen</t>
  </si>
  <si>
    <t>Amoguis, Andressa Mabido</t>
  </si>
  <si>
    <t>Antonio, Florie Maye Lingay</t>
  </si>
  <si>
    <t>Batac, Jean Carlo Bucas</t>
  </si>
  <si>
    <t>Bautista, Marcia Mulingbayan</t>
  </si>
  <si>
    <t>Bello, Jamilah Guballo</t>
  </si>
  <si>
    <t>Benavente, Eunice Mendez</t>
  </si>
  <si>
    <t>Bonganciso, Lanie Hernando</t>
  </si>
  <si>
    <t>Binauhan, Melinda Pardo</t>
  </si>
  <si>
    <t>Bose, Syrelle Joy Villarma</t>
  </si>
  <si>
    <t>Caasi, Claire Ann Remolona</t>
  </si>
  <si>
    <t>Cabintoy, Raymond Jhon Relador</t>
  </si>
  <si>
    <t>Camama, Liezle Amular</t>
  </si>
  <si>
    <t>Canceran, Julianah Baguilan</t>
  </si>
  <si>
    <t>Candelaria, Trina Repuya</t>
  </si>
  <si>
    <t>Canoy, Chariza Nicole Mayacyac</t>
  </si>
  <si>
    <t>Cas, Hazel Barrameda</t>
  </si>
  <si>
    <t>Cervantes, Renelyn Occidental</t>
  </si>
  <si>
    <t>Cezar, Eufrah Keem Padida</t>
  </si>
  <si>
    <t>Chumacera, John Karlo Chavenia</t>
  </si>
  <si>
    <t xml:space="preserve">Cruzpe, Janeth </t>
  </si>
  <si>
    <t>Culili, Ilyne Gupo</t>
  </si>
  <si>
    <t>Darasin, Melvin Malto</t>
  </si>
  <si>
    <t>Dela Serna, Jay-Ar Onde</t>
  </si>
  <si>
    <t>Don, Rosemarie Artienda</t>
  </si>
  <si>
    <t>Fabro, Jhudiel Valerie Salvador</t>
  </si>
  <si>
    <t>Falogme, Bryen Jade Malla</t>
  </si>
  <si>
    <t>Filezelda, Ella Jane Berreros</t>
  </si>
  <si>
    <t>Forbes, Lizette Anne Guerrero</t>
  </si>
  <si>
    <t>Galfo, Karill Mendoza</t>
  </si>
  <si>
    <t>Gammad, Emiliana Betay</t>
  </si>
  <si>
    <t>Gannaban, Edna Maborrang</t>
  </si>
  <si>
    <t>Geraldo, Christian Allen Palmero</t>
  </si>
  <si>
    <t>Gerona, Jenny Dollesin</t>
  </si>
  <si>
    <t>Gordo, Francis Jeman Ciudad</t>
  </si>
  <si>
    <t>Iguid, Michelle Dauna</t>
  </si>
  <si>
    <t>Ilano, Kenneth Dumagat</t>
  </si>
  <si>
    <t>Jabien, Jessamay Brazas</t>
  </si>
  <si>
    <t>Reyes, Patricia Mae Juangco</t>
  </si>
  <si>
    <t>Jerios, Leandro Gutierrez</t>
  </si>
  <si>
    <t xml:space="preserve">Lacaste, Jasmine Lheyan </t>
  </si>
  <si>
    <t>Lalusin, Apolinario Camacho</t>
  </si>
  <si>
    <t>Landeza, Maria Anna Francesca Vigal</t>
  </si>
  <si>
    <t>Lanza, Mico Arcullo</t>
  </si>
  <si>
    <t>Lindo, Nizha Marie Roque</t>
  </si>
  <si>
    <t>Llagas, Niejay Macalindong</t>
  </si>
  <si>
    <t>Macatol, April Ann Miñon</t>
  </si>
  <si>
    <t>Manuel, Jayne Ventayen</t>
  </si>
  <si>
    <t>Matriz, Gerlie Medallon</t>
  </si>
  <si>
    <t>Mendoza, Ma. Cecilia Sto. Domingo</t>
  </si>
  <si>
    <t>Merete, Xyrille Ramos</t>
  </si>
  <si>
    <t>Montemor, Ernesto Ramos</t>
  </si>
  <si>
    <t>Montoya, Chezka Marie Torres</t>
  </si>
  <si>
    <t>Nagas, Julie Carina Estepa</t>
  </si>
  <si>
    <t>Nazareno, Jenna Lou Salvador</t>
  </si>
  <si>
    <t>Ogatia, Raymart Millano</t>
  </si>
  <si>
    <t>Pagadora, Florence Genevieve Apelado</t>
  </si>
  <si>
    <t>Pe, Eilron Louise Rosales</t>
  </si>
  <si>
    <t>VILLENA</t>
  </si>
  <si>
    <t>Aranzaso, Prince Loyd Villena</t>
  </si>
  <si>
    <t>CONSTANTINO</t>
  </si>
  <si>
    <t>VALDEZ</t>
  </si>
  <si>
    <t>JAMUAT</t>
  </si>
  <si>
    <t>OPENARIA</t>
  </si>
  <si>
    <t>ANDREA</t>
  </si>
  <si>
    <t>ONG</t>
  </si>
  <si>
    <t>REDILLAS</t>
  </si>
  <si>
    <t>SENOGAT</t>
  </si>
  <si>
    <t>DADAL</t>
  </si>
  <si>
    <t>MANGARIN</t>
  </si>
  <si>
    <t>PADRONES</t>
  </si>
  <si>
    <t>CAJANDOC</t>
  </si>
  <si>
    <t>JUVIDA</t>
  </si>
  <si>
    <t>JOSEPHINE</t>
  </si>
  <si>
    <t>BERNALES</t>
  </si>
  <si>
    <t>PAMA</t>
  </si>
  <si>
    <t>MANI</t>
  </si>
  <si>
    <t>GALANIDA</t>
  </si>
  <si>
    <t>DOLOROSA</t>
  </si>
  <si>
    <t>REYNA</t>
  </si>
  <si>
    <t>CUYASEN</t>
  </si>
  <si>
    <t>SAULONG</t>
  </si>
  <si>
    <t>SAMIANO</t>
  </si>
  <si>
    <t>JOVEN</t>
  </si>
  <si>
    <t>DELA CRUZ</t>
  </si>
  <si>
    <t>VELO</t>
  </si>
  <si>
    <t>LACABE</t>
  </si>
  <si>
    <t>PASCUAL</t>
  </si>
  <si>
    <t>LAGAJINO</t>
  </si>
  <si>
    <t>ROLDAN</t>
  </si>
  <si>
    <t>Peralta, Erica Mae Constantino</t>
  </si>
  <si>
    <t>Perez, Porceso Valdez</t>
  </si>
  <si>
    <t>Ponce, Carmen Jamuat</t>
  </si>
  <si>
    <t>Purisima, Maricris Openaria</t>
  </si>
  <si>
    <t>Redillas, Andrea Ong</t>
  </si>
  <si>
    <t>Relente, Geraldine Senogat</t>
  </si>
  <si>
    <t>Reyes, Kristoffer Carlos Dadal</t>
  </si>
  <si>
    <t>Romero, Chona Mangarin</t>
  </si>
  <si>
    <t>Rosas, Angie Padrones</t>
  </si>
  <si>
    <t>Rosello, Joanna Marie Cajandoc</t>
  </si>
  <si>
    <t>Saniel, Ma. Cristina Juvida</t>
  </si>
  <si>
    <t>Sayson, Josephine Bernales</t>
  </si>
  <si>
    <t>Soriano, Catherine Pama</t>
  </si>
  <si>
    <t>Sulit, Nelo Jan Mani</t>
  </si>
  <si>
    <t>Taganna, Maica Galanida</t>
  </si>
  <si>
    <t>Tanglao, Cris-Ever Dolorosa</t>
  </si>
  <si>
    <t>Tayaben, Jesel Reyna</t>
  </si>
  <si>
    <t>Totanes, Rubie Rose Cuyasen</t>
  </si>
  <si>
    <t>Tradio, Alice Saulong</t>
  </si>
  <si>
    <t>Umali, Joyce Anne Samiano</t>
  </si>
  <si>
    <t>Velo, Joven Dela Cruz</t>
  </si>
  <si>
    <t>Vicente, Edson Lacabe</t>
  </si>
  <si>
    <t>Victorino, Jovy Pascual</t>
  </si>
  <si>
    <t>Lagajino, Kimberly Villanueva</t>
  </si>
  <si>
    <t>Villanueva, Rachel Roldan</t>
  </si>
  <si>
    <t>JC</t>
  </si>
  <si>
    <t>RECODO</t>
  </si>
  <si>
    <t>RODA</t>
  </si>
  <si>
    <t>Roda, JC Recodo</t>
  </si>
  <si>
    <t>DE JESUS</t>
  </si>
  <si>
    <t>SMS-2577</t>
  </si>
  <si>
    <t>SMS-2576</t>
  </si>
  <si>
    <t>SMS-2573</t>
  </si>
  <si>
    <t>SMS-2553</t>
  </si>
  <si>
    <t>SMS-2513</t>
  </si>
  <si>
    <t>SMS-2530</t>
  </si>
  <si>
    <t>SMS-2196</t>
  </si>
  <si>
    <t>SMS-2560</t>
  </si>
  <si>
    <t>SMS-2549</t>
  </si>
  <si>
    <t>SMS-2550</t>
  </si>
  <si>
    <t>SMS-2547</t>
  </si>
  <si>
    <t>SMS-2554</t>
  </si>
  <si>
    <t>SMS-2551</t>
  </si>
  <si>
    <t>SMS-2518</t>
  </si>
  <si>
    <t>SMS-2523</t>
  </si>
  <si>
    <t>SMS-2531</t>
  </si>
  <si>
    <t>SMS-2517</t>
  </si>
  <si>
    <t>SMS-2552</t>
  </si>
  <si>
    <t>SMS-2561</t>
  </si>
  <si>
    <t>SMS-2536</t>
  </si>
  <si>
    <t>SMS-2559</t>
  </si>
  <si>
    <t>SMS-2516</t>
  </si>
  <si>
    <t>SMS-2535</t>
  </si>
  <si>
    <t>SMS-2610</t>
  </si>
  <si>
    <t>#9102 Unit A, Gray Apartment Le Milla Subdivision, Biga I, Silang, Cavite</t>
  </si>
  <si>
    <t>Blk. 15, Lot 30, Tierra Solara, Buenavista III, General Tias City, Cavite</t>
  </si>
  <si>
    <t>Brgy. Sikat, Alfonso, Cavite</t>
  </si>
  <si>
    <t>051 Brgy Hoyo, Silang, Cavite</t>
  </si>
  <si>
    <t>Brgy. Hoyo, Silang, Cavite</t>
  </si>
  <si>
    <t>B1 L15 Cardinal Subdivision, Sampaloc 1, Dasmariñas Cavite</t>
  </si>
  <si>
    <t>2407D Dagonoy St. Opalo, Cor. San Andres Bukid, Manila, MM.</t>
  </si>
  <si>
    <t>Brgy. Langkaan II, Dasmariñas City, Cavite</t>
  </si>
  <si>
    <t>B5 L21 Tierra Vista Ayana 2 Langkaan 1, Dasmariñas, Cavite</t>
  </si>
  <si>
    <t>Sitio Pulo, Aga, Nasugbu Batangas</t>
  </si>
  <si>
    <t>Blk. 48, Lot 11, Bahay Pangarap Subd., Brgy. Sampaloc IV, City of Dasmarinas, Cavite</t>
  </si>
  <si>
    <t>Biga II, Silang, Cavite</t>
  </si>
  <si>
    <t>245 Bacer St. Don Fabian Vill. Comm. Ave., Quezon City</t>
  </si>
  <si>
    <t>Block 8, Lot 15, Greenmark Homes, Malagasang II-B, Imus, Cavite</t>
  </si>
  <si>
    <t>67 P. Reyes St. Brgy. Tubuan I, Silang Cavite</t>
  </si>
  <si>
    <t>Kaong, Silang, Cavite, Philippines</t>
  </si>
  <si>
    <t>Tumauini, Isabela</t>
  </si>
  <si>
    <t>Blk F1 Lot 24 Brgy. Sta. Cristina 1 Dasmariñas City, Cavite</t>
  </si>
  <si>
    <t>Blk 45  Lot 3B Acacia St. Brgy. Sto. Niño II, Dasmariñas, Cavite</t>
  </si>
  <si>
    <t>20 Bliss Biga 2, Silang, Cavite</t>
  </si>
  <si>
    <t>20 Bliss Biga II silang Cavite</t>
  </si>
  <si>
    <t>Sabutan Manuela Ville Silang, Cavite</t>
  </si>
  <si>
    <t>Blk 6 Lot 17, Lynville Sta. Monica Homes, San Pablo City, Laguna</t>
  </si>
  <si>
    <t>Blk. 2 Lot 12, Phase 1, Brgy. H2 Dasmariñas City, Cavite</t>
  </si>
  <si>
    <t>Bliss,Biga II, Silang Cavite</t>
  </si>
  <si>
    <t>Sitio Abuhan, Maguyam, Silang, Cavite</t>
  </si>
  <si>
    <t>274 Purok 2 Biga II, Silang, Cavite</t>
  </si>
  <si>
    <t>Blk. E 20 Lot 3 Brgy. San Mateo, Area D, Dasmariñas City, Cavite</t>
  </si>
  <si>
    <t>Blk 7 lot 39, Jaguar Street, Phase IV, Villa Luisa, San Agustin 3, Dasmariñas City, Cavite</t>
  </si>
  <si>
    <t>10A Purok 5, Brgy. Bliss, Silang, Cavite</t>
  </si>
  <si>
    <t>Maligaya Sunset Ville Brgy. Adlas Silang, Cavite</t>
  </si>
  <si>
    <t>Bliss Biga II, Silang Cavite</t>
  </si>
  <si>
    <t>Purik 4, Biga 2, Silang, Cavite</t>
  </si>
  <si>
    <t>Sta. Cruz 1, Dasmariñas City, Cavite </t>
  </si>
  <si>
    <t>Sunnybrooke 2, San Francisco, General Trias, Cavite</t>
  </si>
  <si>
    <t>Blk 17 Lot 49 Phase 1, Brgy. Langkaan 2, Dasmariñas, Cavite</t>
  </si>
  <si>
    <t>GT Compound Kapt. Sayas St. San Vicente II, Silang Cavite</t>
  </si>
  <si>
    <t>Pacifictown Park Villas, Brgy. Conchu, Trece Martires, Cavite</t>
  </si>
  <si>
    <t>Blk 9 Lot 43, Pacifictown Park Villas, Brgy. Conchu, Trece Martires City, Cavite</t>
  </si>
  <si>
    <t>Blk 84 Lot 16 Zone 9 Bautista Sampaloc IV Dasmariñas Cavite</t>
  </si>
  <si>
    <t>Blk. 34 Lot 9, CHRU R5, Brgy. Langkaan II, Dasmariñas City, Cavite</t>
  </si>
  <si>
    <t>Brgy. Salawag, Golden City, Dasmariñas City, Cavite</t>
  </si>
  <si>
    <t>Concepcion, Banahaw, Sariaya, Quezon</t>
  </si>
  <si>
    <t>Purok 57, Sta. Rita Road Kaybagal Central, Tagaytay City</t>
  </si>
  <si>
    <t>205, Sta. Rita Road, Kaybagal Central, Tagaytay City, Cavite</t>
  </si>
  <si>
    <t>Brgy. Bulakin II, Dolores Quezon 4326</t>
  </si>
  <si>
    <t>122 Poblete St., Purok 102 Brgy. Maharlika West, Tagaytay City, Cavite 4120</t>
  </si>
  <si>
    <t>Paluran, Occidental Mindoro</t>
  </si>
  <si>
    <t>HCL Apartment Lot 9–E-5, Purok 6 Biga II, Silang, Cavite</t>
  </si>
  <si>
    <t>123 Purok 1 Adlas, Silang, Cavite</t>
  </si>
  <si>
    <t>724 M.H Del Pilar St. Brgy. 10 Amadeo, Cavite</t>
  </si>
  <si>
    <t>1327 Blk. 22 Lot 5 Brgy. Pulido Extension, GMA Cavite</t>
  </si>
  <si>
    <t>333 Munting Ilog, Silang, Cavite</t>
  </si>
  <si>
    <t>#2, Purok 5, Biga St., Silang, Cavite</t>
  </si>
  <si>
    <t>General Emilio Aguinaldo, Cavite</t>
  </si>
  <si>
    <t>B149 L14, Phase 3, Paliparan 3, Dasmariñas, Cavite</t>
  </si>
  <si>
    <t>Pagsangahan, Basud, Camarines Norte</t>
  </si>
  <si>
    <t>Blk 29 Lot 20 Brgy. Sto. Niño 1, Dasmariñas City, Cavite</t>
  </si>
  <si>
    <t>Blk 5 Lot 12 England Dr., Franceville, Bulihan, Silang, Cavite</t>
  </si>
  <si>
    <t>Brgy. Batas, Silang, Cavite</t>
  </si>
  <si>
    <t>Purok 6, Biga II, Silang Cavite</t>
  </si>
  <si>
    <t>Regency Exec. Townhomes Sampaloc II, Dasmariñas, Cavite</t>
  </si>
  <si>
    <t>Blk. H-11, Lot 3, Brgy. San Lorenzo Ruiz II, Area E, Dasmariñas, Cavite</t>
  </si>
  <si>
    <t>311 Garcia St., Caridad, Cavite City</t>
  </si>
  <si>
    <t>134 Balite 1, Silang, Cavite</t>
  </si>
  <si>
    <t>Blk 11 Lot 52 Ruby St. Brgy Fatima 1 Proper Dasmariñas Cavite</t>
  </si>
  <si>
    <t>Blk. 5, Lot 18, Sunflower St., Phase 1, Perpetual Village 7, Mambog 2, Bacoor, Cavite</t>
  </si>
  <si>
    <t>Blk 70 Lot 14 Zone 7 Bautista Property, Brgy. Sampaloc IV, City of Dasmariñas, Cavite</t>
  </si>
  <si>
    <t xml:space="preserve">Bliss, Biga 2, Silang Cavite </t>
  </si>
  <si>
    <t>Blk. 13 Lot 21 San Antonio de Padua 1, Dasmariñas City, Cavite 4114</t>
  </si>
  <si>
    <t>Biga II, Silang Cavite</t>
  </si>
  <si>
    <t>617 Sitio Tamak, Maguyam, Silang, Cavite</t>
  </si>
  <si>
    <t>Biga I, Silang, Cavite</t>
  </si>
  <si>
    <t>KS 16 Blk. 22 Lt. 29 Fargo St. Lancaster New City, General Trias, Cavite</t>
  </si>
  <si>
    <t>Blk 20, Bliss, Silang, Cavite</t>
  </si>
  <si>
    <t>Blk. 30, Lot 32, Brgy. Victoria Reyes, Dasmariñas City, Cavite</t>
  </si>
  <si>
    <t>Bliss, Biga II, Silang, Cavite</t>
  </si>
  <si>
    <t>Blk 66, Lt 6, Easter Avenue, Phase 2, Holiday Homes, Biclatan, General Trias City, Cavite</t>
  </si>
  <si>
    <t>Olili, Aya Mae De Jesus</t>
  </si>
  <si>
    <t>Silang, Cavite</t>
  </si>
  <si>
    <t>General Tias City, Cavite</t>
  </si>
  <si>
    <t>Alfonso, Cavite</t>
  </si>
  <si>
    <t>Manila, MM.</t>
  </si>
  <si>
    <t>Dasmariñas City, Cavite</t>
  </si>
  <si>
    <t>Dasmariñas, Cavite</t>
  </si>
  <si>
    <t>Quezon City</t>
  </si>
  <si>
    <t>Imus, Cavite</t>
  </si>
  <si>
    <t>Silang Cavite</t>
  </si>
  <si>
    <t>City, Cavite</t>
  </si>
  <si>
    <t>San Pablo City, Laguna</t>
  </si>
  <si>
    <t>General Trias, Cavite</t>
  </si>
  <si>
    <t>Trece Martires, Cavite</t>
  </si>
  <si>
    <t>Dasmariñas Cavite</t>
  </si>
  <si>
    <t>Sariaya, Quezon</t>
  </si>
  <si>
    <t>Amadeo, Cavite</t>
  </si>
  <si>
    <t>Basud, Camarines Norte</t>
  </si>
  <si>
    <t>Bacoor, Cavite</t>
  </si>
  <si>
    <t>Nasugbu Batangas</t>
  </si>
  <si>
    <t>Cavite City</t>
  </si>
  <si>
    <t>Langkaan, Cavite</t>
  </si>
  <si>
    <t>Tagaytay, Cavite</t>
  </si>
  <si>
    <t>Dolores, Quezon</t>
  </si>
  <si>
    <t>Paluran, Occ. Mindoro</t>
  </si>
  <si>
    <t>GMA, Cavite</t>
  </si>
  <si>
    <t>Blessed Ville “Greensite” Sampaloc II, Dasmariñas, Cavite</t>
  </si>
  <si>
    <t>3/26/01</t>
  </si>
  <si>
    <t>Ruperto</t>
  </si>
  <si>
    <t>Shina Mae</t>
  </si>
  <si>
    <t>Herlynmay</t>
  </si>
  <si>
    <t>Jeson</t>
  </si>
  <si>
    <t>Johanna Michelle</t>
  </si>
  <si>
    <t>Kristine Mae</t>
  </si>
  <si>
    <t>Cristina</t>
  </si>
  <si>
    <t>Ricardo</t>
  </si>
  <si>
    <t>Daisy</t>
  </si>
  <si>
    <t>Maria Lourdes</t>
  </si>
  <si>
    <t>Jimmy Boy</t>
  </si>
  <si>
    <t>Ruby</t>
  </si>
  <si>
    <t>Juvy Jane</t>
  </si>
  <si>
    <t>Julie Fe</t>
  </si>
  <si>
    <t>Kathleen</t>
  </si>
  <si>
    <t>Divina</t>
  </si>
  <si>
    <t>Rosemarie</t>
  </si>
  <si>
    <t>Annalyn</t>
  </si>
  <si>
    <t>Kristine</t>
  </si>
  <si>
    <t>Heide</t>
  </si>
  <si>
    <t>Ma. Xenia</t>
  </si>
  <si>
    <t>Jealiana</t>
  </si>
  <si>
    <t>Claudine</t>
  </si>
  <si>
    <t>Katrina Angela</t>
  </si>
  <si>
    <t>Ronnel</t>
  </si>
  <si>
    <t>Je-ann</t>
  </si>
  <si>
    <t>Joseph</t>
  </si>
  <si>
    <t>Larry</t>
  </si>
  <si>
    <t>Richard</t>
  </si>
  <si>
    <t>Bernard</t>
  </si>
  <si>
    <t>Mhira</t>
  </si>
  <si>
    <t>Khyla Shane</t>
  </si>
  <si>
    <t>Rose Ann</t>
  </si>
  <si>
    <t>Angelica</t>
  </si>
  <si>
    <t>Rica Veronica</t>
  </si>
  <si>
    <t>Arcely</t>
  </si>
  <si>
    <t>Charming</t>
  </si>
  <si>
    <t>Eric</t>
  </si>
  <si>
    <t>Aljun</t>
  </si>
  <si>
    <t>Melanie</t>
  </si>
  <si>
    <t>Jeremie</t>
  </si>
  <si>
    <t>Marvin</t>
  </si>
  <si>
    <t>Ricky</t>
  </si>
  <si>
    <t>Mary Grace</t>
  </si>
  <si>
    <t>Marialyn</t>
  </si>
  <si>
    <t>Maricar</t>
  </si>
  <si>
    <t>Amelita</t>
  </si>
  <si>
    <t>Rhina Joy</t>
  </si>
  <si>
    <t>Joevelyn</t>
  </si>
  <si>
    <t>Romalyn</t>
  </si>
  <si>
    <t>Resie</t>
  </si>
  <si>
    <t>Annabel</t>
  </si>
  <si>
    <t>Delia</t>
  </si>
  <si>
    <t>Jayvie</t>
  </si>
  <si>
    <t>Arlen</t>
  </si>
  <si>
    <t>Charlita</t>
  </si>
  <si>
    <t>Jason Melancio</t>
  </si>
  <si>
    <t>Jolleby</t>
  </si>
  <si>
    <t>Lenie</t>
  </si>
  <si>
    <t>Mary Ann</t>
  </si>
  <si>
    <t>Jessica</t>
  </si>
  <si>
    <t>Carina</t>
  </si>
  <si>
    <t>Mara</t>
  </si>
  <si>
    <t>Bambie</t>
  </si>
  <si>
    <t>Marlo</t>
  </si>
  <si>
    <t>Rhea Joy</t>
  </si>
  <si>
    <t>Raymond</t>
  </si>
  <si>
    <t>Jelly Glaze</t>
  </si>
  <si>
    <t>Germie Jay</t>
  </si>
  <si>
    <t>Edwin</t>
  </si>
  <si>
    <t>Archie</t>
  </si>
  <si>
    <t>Sharon</t>
  </si>
  <si>
    <t>Rona</t>
  </si>
  <si>
    <t>Calvin</t>
  </si>
  <si>
    <t>Ma. Cecilia</t>
  </si>
  <si>
    <t>Liezl</t>
  </si>
  <si>
    <t>Juliet</t>
  </si>
  <si>
    <t>Beguiras</t>
  </si>
  <si>
    <t>Bernal</t>
  </si>
  <si>
    <t>Bulasco</t>
  </si>
  <si>
    <t>Llanes</t>
  </si>
  <si>
    <t>Mariano</t>
  </si>
  <si>
    <t>Mariñas</t>
  </si>
  <si>
    <t>Marquez</t>
  </si>
  <si>
    <t>Paras</t>
  </si>
  <si>
    <t>Petogo</t>
  </si>
  <si>
    <t>Tapnio</t>
  </si>
  <si>
    <t>Tribiana</t>
  </si>
  <si>
    <t>Exonde</t>
  </si>
  <si>
    <t>Reyes</t>
  </si>
  <si>
    <t>Buyagan</t>
  </si>
  <si>
    <t>Calixterio</t>
  </si>
  <si>
    <t>Dagondon</t>
  </si>
  <si>
    <t>Domasing</t>
  </si>
  <si>
    <t>Failaman</t>
  </si>
  <si>
    <t>Mojica</t>
  </si>
  <si>
    <t>Pugal</t>
  </si>
  <si>
    <t>Rocas</t>
  </si>
  <si>
    <t>Taton</t>
  </si>
  <si>
    <t>Insigne</t>
  </si>
  <si>
    <t>Mallari</t>
  </si>
  <si>
    <t>Villanueva</t>
  </si>
  <si>
    <t>Marcelino</t>
  </si>
  <si>
    <t>Almorfe</t>
  </si>
  <si>
    <t>Casquijo</t>
  </si>
  <si>
    <t>Nabata</t>
  </si>
  <si>
    <t>Roda</t>
  </si>
  <si>
    <t>Simata</t>
  </si>
  <si>
    <t>Humiwat</t>
  </si>
  <si>
    <t>Mabilin</t>
  </si>
  <si>
    <t>Manzanero</t>
  </si>
  <si>
    <t>Rozaldo</t>
  </si>
  <si>
    <t>Juanito</t>
  </si>
  <si>
    <t>Latonero</t>
  </si>
  <si>
    <t>Blanco</t>
  </si>
  <si>
    <t>Evangelista</t>
  </si>
  <si>
    <t>Mahilom</t>
  </si>
  <si>
    <t>Vargas</t>
  </si>
  <si>
    <t>Magnaye</t>
  </si>
  <si>
    <t>Marabillon</t>
  </si>
  <si>
    <t>Revadenera</t>
  </si>
  <si>
    <t>Buenafe</t>
  </si>
  <si>
    <t>Burbano</t>
  </si>
  <si>
    <t>Cada</t>
  </si>
  <si>
    <t>Gregorio</t>
  </si>
  <si>
    <t>Huit</t>
  </si>
  <si>
    <t>Leysa</t>
  </si>
  <si>
    <t>Mahinay</t>
  </si>
  <si>
    <t>Mesa</t>
  </si>
  <si>
    <t>Mugas</t>
  </si>
  <si>
    <t>Narvaez</t>
  </si>
  <si>
    <t>Obina</t>
  </si>
  <si>
    <t>Olivar</t>
  </si>
  <si>
    <t>Pelare</t>
  </si>
  <si>
    <t>Pilande</t>
  </si>
  <si>
    <t>Ragayday</t>
  </si>
  <si>
    <t>Tabuena</t>
  </si>
  <si>
    <t>Legaspi</t>
  </si>
  <si>
    <t>Rosagaso</t>
  </si>
  <si>
    <t>Tambulogan</t>
  </si>
  <si>
    <t>Sandigio</t>
  </si>
  <si>
    <t>Francia</t>
  </si>
  <si>
    <t>Flomentera</t>
  </si>
  <si>
    <t>Menchavez</t>
  </si>
  <si>
    <t>Claud</t>
  </si>
  <si>
    <t>Sangumay</t>
  </si>
  <si>
    <t>Valenzona</t>
  </si>
  <si>
    <t>Payad</t>
  </si>
  <si>
    <t>Ambulo</t>
  </si>
  <si>
    <t>Arranguez</t>
  </si>
  <si>
    <t>Manalo</t>
  </si>
  <si>
    <t>Cayamanda</t>
  </si>
  <si>
    <t>de Borja</t>
  </si>
  <si>
    <t>Mitschek</t>
  </si>
  <si>
    <t>Maurillo</t>
  </si>
  <si>
    <t>Marfil</t>
  </si>
  <si>
    <t>Quintero</t>
  </si>
  <si>
    <t>Brioso</t>
  </si>
  <si>
    <t>Jr</t>
  </si>
  <si>
    <t>Agustin</t>
  </si>
  <si>
    <t>Virgilio</t>
  </si>
  <si>
    <t>SMS-0114</t>
  </si>
  <si>
    <t>SMS-2349</t>
  </si>
  <si>
    <t>SMS-2182</t>
  </si>
  <si>
    <t>SMS-1997</t>
  </si>
  <si>
    <t>SMS-2323</t>
  </si>
  <si>
    <t>SMS-2219</t>
  </si>
  <si>
    <t>SMS-1991</t>
  </si>
  <si>
    <t>SMS-2016</t>
  </si>
  <si>
    <t>SMS-0170</t>
  </si>
  <si>
    <t>SMS-0175</t>
  </si>
  <si>
    <t>SMS-0576</t>
  </si>
  <si>
    <t>SMS-2497</t>
  </si>
  <si>
    <t>SMS-2524</t>
  </si>
  <si>
    <t>SMS-2532</t>
  </si>
  <si>
    <t>SMS-0998</t>
  </si>
  <si>
    <t>SMS-2111</t>
  </si>
  <si>
    <t>SMS-2498</t>
  </si>
  <si>
    <t>SMS-2228</t>
  </si>
  <si>
    <t>SMS-2233</t>
  </si>
  <si>
    <t>SMS-1209</t>
  </si>
  <si>
    <t>SMS-2183</t>
  </si>
  <si>
    <t>SMS-0181</t>
  </si>
  <si>
    <t>SMS-2499</t>
  </si>
  <si>
    <t>SMS-2528</t>
  </si>
  <si>
    <t>SMS-2529</t>
  </si>
  <si>
    <t>SMS-2545</t>
  </si>
  <si>
    <t>SMS-2555</t>
  </si>
  <si>
    <t>SMS-0525</t>
  </si>
  <si>
    <t>SMS-1024</t>
  </si>
  <si>
    <t>SMS-2023</t>
  </si>
  <si>
    <t>SMS-1297</t>
  </si>
  <si>
    <t>SMS-1929</t>
  </si>
  <si>
    <t>SMS-2339</t>
  </si>
  <si>
    <t>SMS-2039</t>
  </si>
  <si>
    <t>SMS-1766</t>
  </si>
  <si>
    <t>SMS-2044</t>
  </si>
  <si>
    <t>SMS-1813</t>
  </si>
  <si>
    <t>SMS-2525</t>
  </si>
  <si>
    <t>SMS-2527</t>
  </si>
  <si>
    <t>SMS-1208</t>
  </si>
  <si>
    <t>SMS-2174</t>
  </si>
  <si>
    <t>SMS-2115</t>
  </si>
  <si>
    <t>SMS-1036</t>
  </si>
  <si>
    <t>SMS-0155</t>
  </si>
  <si>
    <t>SMS-0157</t>
  </si>
  <si>
    <t>SMS-0178</t>
  </si>
  <si>
    <t>SMS-2326</t>
  </si>
  <si>
    <t>SMS-1846</t>
  </si>
  <si>
    <t>SMS-1820</t>
  </si>
  <si>
    <t>SMS-2274</t>
  </si>
  <si>
    <t>SMS-1821</t>
  </si>
  <si>
    <t>SMS-1927</t>
  </si>
  <si>
    <t>SMS-2332</t>
  </si>
  <si>
    <t>SMS-1847</t>
  </si>
  <si>
    <t>SMS-1855</t>
  </si>
  <si>
    <t>SMS-2382</t>
  </si>
  <si>
    <t>SMS-2013</t>
  </si>
  <si>
    <t>SMS-1158</t>
  </si>
  <si>
    <t>SMS-1860</t>
  </si>
  <si>
    <t>SMS-2021</t>
  </si>
  <si>
    <t>SMS-1911</t>
  </si>
  <si>
    <t>SMS-1699</t>
  </si>
  <si>
    <t>SMS-2240</t>
  </si>
  <si>
    <t>SMS-0789</t>
  </si>
  <si>
    <t>SMS-2051</t>
  </si>
  <si>
    <t>SMS-2158</t>
  </si>
  <si>
    <t>SMS-0187</t>
  </si>
  <si>
    <t>SMS-2385</t>
  </si>
  <si>
    <t>SMS-2494</t>
  </si>
  <si>
    <t>SMS-2505</t>
  </si>
  <si>
    <t>SMS-2272</t>
  </si>
  <si>
    <t>SMS-2226</t>
  </si>
  <si>
    <t>SMS-2328</t>
  </si>
  <si>
    <t>SMS-2533</t>
  </si>
  <si>
    <t>SMS-2534</t>
  </si>
  <si>
    <t>SMS-1557</t>
  </si>
  <si>
    <t>SMS-2504</t>
  </si>
  <si>
    <t>SMS-2503</t>
  </si>
  <si>
    <t>SMS-2224</t>
  </si>
  <si>
    <t>SMS-2570</t>
  </si>
  <si>
    <t>SMS-2571</t>
  </si>
  <si>
    <t>SMS-2572</t>
  </si>
  <si>
    <t>SMS-2575</t>
  </si>
  <si>
    <t>Arguelles</t>
  </si>
  <si>
    <t>Bañares</t>
  </si>
  <si>
    <t>Payos</t>
  </si>
  <si>
    <t>Salazar</t>
  </si>
  <si>
    <t>Fermin</t>
  </si>
  <si>
    <t>Sandicho</t>
  </si>
  <si>
    <t>Macawile</t>
  </si>
  <si>
    <t>Carreon</t>
  </si>
  <si>
    <t>Bacolod</t>
  </si>
  <si>
    <t>Alunan</t>
  </si>
  <si>
    <t>Refugio</t>
  </si>
  <si>
    <t>Saliva</t>
  </si>
  <si>
    <t>Seperidad</t>
  </si>
  <si>
    <t>Polvora</t>
  </si>
  <si>
    <t>De Castro</t>
  </si>
  <si>
    <t>Poblete</t>
  </si>
  <si>
    <t>Roderick</t>
  </si>
  <si>
    <t>Mortil</t>
  </si>
  <si>
    <t>Aguirre</t>
  </si>
  <si>
    <t>Jhona Mie</t>
  </si>
  <si>
    <t>Simba</t>
  </si>
  <si>
    <t>Gida</t>
  </si>
  <si>
    <t>Orosco</t>
  </si>
  <si>
    <t>Mangandi</t>
  </si>
  <si>
    <t>Toledo</t>
  </si>
  <si>
    <t>Relos</t>
  </si>
  <si>
    <t>Alcanar</t>
  </si>
  <si>
    <t>Dinamling</t>
  </si>
  <si>
    <t>Reccon</t>
  </si>
  <si>
    <t>Misa</t>
  </si>
  <si>
    <t>Talundata</t>
  </si>
  <si>
    <t>Mendoza</t>
  </si>
  <si>
    <t>Reccion</t>
  </si>
  <si>
    <t>Ladesma</t>
  </si>
  <si>
    <t>Vicario</t>
  </si>
  <si>
    <t>Diolata</t>
  </si>
  <si>
    <t>Quisto</t>
  </si>
  <si>
    <t>Curva</t>
  </si>
  <si>
    <t>Laoyon</t>
  </si>
  <si>
    <t>Nabor</t>
  </si>
  <si>
    <t>Lutap</t>
  </si>
  <si>
    <t>Cantor</t>
  </si>
  <si>
    <t>Matabye</t>
  </si>
  <si>
    <t>Lasim</t>
  </si>
  <si>
    <t>Ricamara</t>
  </si>
  <si>
    <t>Bignayan</t>
  </si>
  <si>
    <t>Longis</t>
  </si>
  <si>
    <t>Regidor</t>
  </si>
  <si>
    <t>Salvadora</t>
  </si>
  <si>
    <t>Bermasina</t>
  </si>
  <si>
    <t>Angcao</t>
  </si>
  <si>
    <t>Eusebio</t>
  </si>
  <si>
    <t>Bañez</t>
  </si>
  <si>
    <t>Alegria</t>
  </si>
  <si>
    <t>Erolyn</t>
  </si>
  <si>
    <t>Banal</t>
  </si>
  <si>
    <t>Billanes</t>
  </si>
  <si>
    <t>Delgado</t>
  </si>
  <si>
    <t>Godoy</t>
  </si>
  <si>
    <t>Maglinte</t>
  </si>
  <si>
    <t>Rapirap</t>
  </si>
  <si>
    <t>Jacutin</t>
  </si>
  <si>
    <t>Delima</t>
  </si>
  <si>
    <t>Gabelo</t>
  </si>
  <si>
    <t>Ortiz</t>
  </si>
  <si>
    <t>Tumbado</t>
  </si>
  <si>
    <t>Bolgados</t>
  </si>
  <si>
    <t>Banuelos</t>
  </si>
  <si>
    <t>Garcia</t>
  </si>
  <si>
    <t>Caboboy</t>
  </si>
  <si>
    <t>Catuday</t>
  </si>
  <si>
    <t>Obinguar</t>
  </si>
  <si>
    <t>Casurao</t>
  </si>
  <si>
    <t>Globio</t>
  </si>
  <si>
    <t>Mañanita</t>
  </si>
  <si>
    <t>Salting</t>
  </si>
  <si>
    <t>Sevilla</t>
  </si>
  <si>
    <t>Luna</t>
  </si>
  <si>
    <t>Villahermosa</t>
  </si>
  <si>
    <t>Seiton</t>
  </si>
  <si>
    <t>Talaboc</t>
  </si>
  <si>
    <t>Peron</t>
  </si>
  <si>
    <t>Ruperto, Agustin Jr. Arguelles</t>
  </si>
  <si>
    <t>Beguiras, Shina Mae Bañares</t>
  </si>
  <si>
    <t>Bernal, Herlynmay Payos</t>
  </si>
  <si>
    <t>Llanes, Johanna Michelle Salazar</t>
  </si>
  <si>
    <t>Mariano, Virgilio Fermin</t>
  </si>
  <si>
    <t>Mariñas, Kristine Mae Sandicho</t>
  </si>
  <si>
    <t>Marquez, Cristina Macawile</t>
  </si>
  <si>
    <t>Paras, Ricardo Carreon</t>
  </si>
  <si>
    <t>Petogo, Daisy Bacolod</t>
  </si>
  <si>
    <t>Tapnio, Maria Lourdes Alunan</t>
  </si>
  <si>
    <t>Tribiana, Jimmy Boy Refugio</t>
  </si>
  <si>
    <t>Exonde, Ruby Saliva</t>
  </si>
  <si>
    <t>Reyes, Juvy Jane Seperidad</t>
  </si>
  <si>
    <t>Marfil, Liezl Poblete</t>
  </si>
  <si>
    <t>Aguirre, Roderick Mortil</t>
  </si>
  <si>
    <t>de Borja, Rona de Borja</t>
  </si>
  <si>
    <t>Simba, Jhona Mie Orosco</t>
  </si>
  <si>
    <t xml:space="preserve">Brioso, Juliet </t>
  </si>
  <si>
    <t xml:space="preserve">Cayamanda, Archie </t>
  </si>
  <si>
    <t>Payad, Germie Jay Mangandi</t>
  </si>
  <si>
    <t>Ambulo, Edwin Toledo</t>
  </si>
  <si>
    <t>Arranguez, Archie Relos</t>
  </si>
  <si>
    <t>Manalo, Sharon Quintero</t>
  </si>
  <si>
    <t xml:space="preserve">Mitschek, Calvin </t>
  </si>
  <si>
    <t>Maurillo, Ma. Cecilia Alcanar</t>
  </si>
  <si>
    <t xml:space="preserve">Gida, Melanie </t>
  </si>
  <si>
    <t>Buyagan, Julie Fe Dinamling</t>
  </si>
  <si>
    <t>Calixterio, Kathleen Reccon</t>
  </si>
  <si>
    <t>Dagondon, Daisy Misa</t>
  </si>
  <si>
    <t>Failaman, Rosemarie Talundata</t>
  </si>
  <si>
    <t>Mojica, Annalyn Mendoza</t>
  </si>
  <si>
    <t>Pugal, Kristine Reccion</t>
  </si>
  <si>
    <t>Rocas, Heide Ladesma</t>
  </si>
  <si>
    <t>Taton, Ma. Xenia Polvora</t>
  </si>
  <si>
    <t>Insigne, Jealiana Vicario</t>
  </si>
  <si>
    <t>Mallari, Claudine Diolata</t>
  </si>
  <si>
    <t>Villanueva, Katrina Angela De Castro</t>
  </si>
  <si>
    <t>Marcelino, Ronnel Quisto</t>
  </si>
  <si>
    <t>Almorfe, Je-ann Curva</t>
  </si>
  <si>
    <t>Casquijo, Joseph Laoyon</t>
  </si>
  <si>
    <t>Nabata, Larry Nabor</t>
  </si>
  <si>
    <t>Roda, Richard Lutap</t>
  </si>
  <si>
    <t>Simata, Bernard Cantor</t>
  </si>
  <si>
    <t>Humiwat, Mhira Matabye</t>
  </si>
  <si>
    <t>Mabilin, Khyla Shane Lasim</t>
  </si>
  <si>
    <t>Manzanero, Rose Ann Ricamara</t>
  </si>
  <si>
    <t>Reyes, Angelica Marquez</t>
  </si>
  <si>
    <t>Rozaldo, Rica Veronica Bignayan</t>
  </si>
  <si>
    <t>Juanito, Arcely Longis</t>
  </si>
  <si>
    <t>Latonero, Charming Regidor</t>
  </si>
  <si>
    <t>Blanco, Eric Salvadora</t>
  </si>
  <si>
    <t>Evangelista, Aljun Bermasina</t>
  </si>
  <si>
    <t>Mahilom, Eusebio Angcao</t>
  </si>
  <si>
    <t>Vargas, Melanie Bañez</t>
  </si>
  <si>
    <t>Magnaye, Jeremie Alegria</t>
  </si>
  <si>
    <t>Marabillon, Marvin Erolyn</t>
  </si>
  <si>
    <t>Revadenera, Ricky Banal</t>
  </si>
  <si>
    <t>Buenafe, Mary Grace Billanes</t>
  </si>
  <si>
    <t>Burbano, Mary Grace Delgado</t>
  </si>
  <si>
    <t>Cada, Marialyn Godoy</t>
  </si>
  <si>
    <t>Gregorio, Maricar Maglinte</t>
  </si>
  <si>
    <t>Huit, Amelita Rapirap</t>
  </si>
  <si>
    <t>Jacutin, Rhina Joy Leysa</t>
  </si>
  <si>
    <t>Delima, Joevelyn Mahinay</t>
  </si>
  <si>
    <t>Mesa, Romalyn Gabelo</t>
  </si>
  <si>
    <t>Mugas, Resie Ortiz</t>
  </si>
  <si>
    <t>Narvaez, Annabel Tumbado</t>
  </si>
  <si>
    <t>Obina, Delia Bolgados</t>
  </si>
  <si>
    <t xml:space="preserve">Olivar, Jayvie </t>
  </si>
  <si>
    <t>Pelare, Arlen Banuelos</t>
  </si>
  <si>
    <t>Pilande, Charlita Garcia</t>
  </si>
  <si>
    <t>Ragayday, Jason Melancio Caboboy</t>
  </si>
  <si>
    <t>Tabuena, Jolleby Catuday</t>
  </si>
  <si>
    <t>Obinguar, Lenie Legaspi</t>
  </si>
  <si>
    <t>Rosagaso, Rosemarie Casurao</t>
  </si>
  <si>
    <t>Tabuena, Mary Ann Globio</t>
  </si>
  <si>
    <t>Tambulogan, Jessica Mañanita</t>
  </si>
  <si>
    <t>Sandigio, Carina Salting</t>
  </si>
  <si>
    <t>Sevilla, Mara Francia</t>
  </si>
  <si>
    <t>Flomentera, Bambie Luna</t>
  </si>
  <si>
    <t>Menchavez, Marlo Villahermosa</t>
  </si>
  <si>
    <t>Claud, Rhea Joy Peron</t>
  </si>
  <si>
    <t>Sangumay, Raymond Seiton</t>
  </si>
  <si>
    <t>Valenzona, Jelly Glaze Talaboc</t>
  </si>
  <si>
    <t>Racquel</t>
  </si>
  <si>
    <t>Crisostomo</t>
  </si>
  <si>
    <t>Deang</t>
  </si>
  <si>
    <t>Jaydee</t>
  </si>
  <si>
    <t>Hanna Jonadette</t>
  </si>
  <si>
    <t>Resurreccion</t>
  </si>
  <si>
    <t>Izanne Ashley</t>
  </si>
  <si>
    <t>Mercado</t>
  </si>
  <si>
    <t>213 Adlas, Silang, Cavite</t>
  </si>
  <si>
    <t>Balubad I, Silang, Cavite</t>
  </si>
  <si>
    <t>Biga 2, Silang, Cavite</t>
  </si>
  <si>
    <t>140 Pulong Uway Sapeda, Talacsan, San Rafael, Bulacan</t>
  </si>
  <si>
    <t>L21 S7 B10, Sunnybrooke I Subd., Gen. Trias, Cavite</t>
  </si>
  <si>
    <t>Tabangao, Batangas City</t>
  </si>
  <si>
    <t>3010 Brgy. Del Remedio Spc</t>
  </si>
  <si>
    <t>384 r. Seperidad St., Langkaan I, Dasmarinas City, Cavite</t>
  </si>
  <si>
    <t>Phase 1 blk 04 lot 04 Casa de lago, Sampaloc III, Dasmarinas Cavite</t>
  </si>
  <si>
    <t>151 P. Montoya St. Silang Cavite</t>
  </si>
  <si>
    <t>Domasing, Divina Ambata</t>
  </si>
  <si>
    <t xml:space="preserve">B12 L25 Green Forbes City, Hugo Perez, Trece Martiez City </t>
  </si>
  <si>
    <t>Blk 3 Lot 6 Camella Homes Subd. Brgy. Buho Silang Cavite</t>
  </si>
  <si>
    <t>BLK11 LOT35, Southcrest Village San Agustin 2 Dasmarinas Cavite</t>
  </si>
  <si>
    <t>#170 Caparas Subd, Silang Cavite</t>
  </si>
  <si>
    <t>Jordan I, Macabling, Sta. Rosa, Laguna</t>
  </si>
  <si>
    <t>Block 70 Lot 23 Hugo Perez Trece Martires Cavite</t>
  </si>
  <si>
    <t>835 Maligaya Sunset Ville, Adlas</t>
  </si>
  <si>
    <t xml:space="preserve"> Sitio Talon Daang Maynilaan Brgy. Litlit, Silang, Cavite</t>
  </si>
  <si>
    <t>Brgy. Bucal, Sampaloc 2, Dasmariñas, Cavite</t>
  </si>
  <si>
    <t>Purok 3, Brgy. Adlas, Silang, Cavite</t>
  </si>
  <si>
    <t>#578 Saint Anthony Phase 1, Brgy. Inarawan, Antipolo City</t>
  </si>
  <si>
    <t>Caragao Slehai Hella Malinta Samapaloc 2 Dasmariñas Cavite</t>
  </si>
  <si>
    <t>Camachile, Pascam I, Gen. Trias Cavite</t>
  </si>
  <si>
    <t>Blk A 8, Excess Lot, Luzviminda, Dasmarinas, Cavite</t>
  </si>
  <si>
    <t>#351 Brgy Adlas, Silang, Cavite</t>
  </si>
  <si>
    <t xml:space="preserve"> Brgy. Inabuan, San Francisco, Quezon</t>
  </si>
  <si>
    <t>Macalelon Quezon</t>
  </si>
  <si>
    <t>Lumasco</t>
  </si>
  <si>
    <t>Road 9 Daang Hari Taguig, Bicutan</t>
  </si>
  <si>
    <t>Capisaan, Kasibu Nueva Viscaya</t>
  </si>
  <si>
    <t>Brgy. San Nicolas Macaleon, Quezon</t>
  </si>
  <si>
    <t>Maligaya Sunset Ville, Adlas, Silang, Cavite</t>
  </si>
  <si>
    <t>Baguio Village, Diffun, Quirino</t>
  </si>
  <si>
    <t>Mauban, Quezon, Philippines</t>
  </si>
  <si>
    <t>Brgy Biga 2, Silang, Cavite</t>
  </si>
  <si>
    <t>Brgy. Biga, Silang, Cavite</t>
  </si>
  <si>
    <t>#376 Malinta, Sampaloc 2, Dasmariñas City Cavite</t>
  </si>
  <si>
    <t>Purok 2, Brgy Adlas Silang Cavite</t>
  </si>
  <si>
    <t>Brgy. Biga II, Silang, Cavite</t>
  </si>
  <si>
    <t>243 Iba Silang Cavite</t>
  </si>
  <si>
    <t>506 Purok 1 Brgy Adlas Silang Cavite</t>
  </si>
  <si>
    <t>Sitio Burol, Brgy. Litlit, Silang Cavite</t>
  </si>
  <si>
    <t>Purok 6, Munting Ilog, Silang Cavite</t>
  </si>
  <si>
    <t>881 Maligaya, Sunset Ville, Adlas, Silang, Cavite</t>
  </si>
  <si>
    <t>Sitio Riverside, Brgy. Adlas, Silang Cavite</t>
  </si>
  <si>
    <t>Samapaloc 2 Dasmarinas Cavite</t>
  </si>
  <si>
    <t>Sitio Riverside 1, Brgy Adlas, Silang, Cavite</t>
  </si>
  <si>
    <t>Brgy. Burol II, Dasmariñas City</t>
  </si>
  <si>
    <t>Riverside , Adlas Silang Cavite</t>
  </si>
  <si>
    <t>Blessed Ville, Sampaloc 2, Silang, Cavite</t>
  </si>
  <si>
    <t>Purok 1, Adlas, Silang, Cavite</t>
  </si>
  <si>
    <t>Purok 2 Biga 1 Silang Cavite</t>
  </si>
  <si>
    <t>Brgy Ipil 1 Blk55 Lot 3, Bulihan, Silang, Cavite</t>
  </si>
  <si>
    <t>Sitio Riverside, Brgy Adlas, Silang, Cavite</t>
  </si>
  <si>
    <t>Riverside Adlas Silang Cavite</t>
  </si>
  <si>
    <t>42 Sampaloc II, Dasmarinas Cavite</t>
  </si>
  <si>
    <t>Brgy. Antalan San Juaquin Iloilo</t>
  </si>
  <si>
    <t>San Luis Malitbog Bukidnon</t>
  </si>
  <si>
    <t>James</t>
  </si>
  <si>
    <t>Lumasco, James Mendoza</t>
  </si>
  <si>
    <t>Block 1, Lot 13, Mirian Villages, Bayan Luma 8, Imus City, Cavite</t>
  </si>
  <si>
    <t>Blk. 31 , lot 10 Cluster 4 Andria St. Bella Vista Subd. Bgry. Santiago General Trias Cavite</t>
  </si>
  <si>
    <t>Kaytapos, Indang, Cavite</t>
  </si>
  <si>
    <t>Deang, Racquel Crisostomo</t>
  </si>
  <si>
    <t>Pagcu</t>
  </si>
  <si>
    <t>Deang, Jaydee Pagcu</t>
  </si>
  <si>
    <t>Morcilla</t>
  </si>
  <si>
    <t>Resurreccion, Hanna Jonadette Morcilla</t>
  </si>
  <si>
    <t>Blk. 20, Lot 63 The Garden Grove Village, Salitran IV, Dasmariñas City, Cavite</t>
  </si>
  <si>
    <t>Blk. 13, Lot 3, Golden Villas, Carsadang Bago, Imus, Cavite</t>
  </si>
  <si>
    <t>Brgy. Adlas, Silang, Cavite</t>
  </si>
  <si>
    <t>Blk. 11, Lot 3 Westwood Highlands Subd. Langkaan 1, Dasmariñas, Cavite</t>
  </si>
  <si>
    <t>H</t>
  </si>
  <si>
    <t>F</t>
  </si>
  <si>
    <t>B14 L31 Tierra Vista Langkaan 1, Dasmariñas, Cavite</t>
  </si>
  <si>
    <t>Purok 4, Pasong Langka, Silang, Cavite</t>
  </si>
  <si>
    <t>1803 Pag-asa III, Imus, Cavite</t>
  </si>
  <si>
    <t>Blk. 11 Lot 176 Southville 1, Brgy. Marinig, Cabuyao, Laguna</t>
  </si>
  <si>
    <t>Margas</t>
  </si>
  <si>
    <t>Bulasco, Jeson Margas</t>
  </si>
  <si>
    <t>Teacher</t>
  </si>
  <si>
    <t>Guidance</t>
  </si>
  <si>
    <t>Librarian</t>
  </si>
  <si>
    <t>Filipino Teacher</t>
  </si>
  <si>
    <t>SAC-Filipino</t>
  </si>
  <si>
    <t>SAC - TLE (JHS)</t>
  </si>
  <si>
    <t>SAC-Mathematics</t>
  </si>
  <si>
    <t>Mathematics Teacher</t>
  </si>
  <si>
    <t>A.P. Teacher</t>
  </si>
  <si>
    <t>SAC-Araling Panlipunan</t>
  </si>
  <si>
    <t>ValEd Teacher</t>
  </si>
  <si>
    <t>SAC - Values Education</t>
  </si>
  <si>
    <t>Prefect of Discipline</t>
  </si>
  <si>
    <t>MAPEH Teacher</t>
  </si>
  <si>
    <t>SAC - MAPEH</t>
  </si>
  <si>
    <t>English Teacher</t>
  </si>
  <si>
    <t>SAC - English</t>
  </si>
  <si>
    <t>Science Teacher</t>
  </si>
  <si>
    <t>SAC - Science</t>
  </si>
  <si>
    <t>ILDO - SHS</t>
  </si>
  <si>
    <t>ARDC</t>
  </si>
  <si>
    <t>Registrar</t>
  </si>
  <si>
    <t>TLE</t>
  </si>
  <si>
    <t>Married</t>
  </si>
  <si>
    <t>Single</t>
  </si>
  <si>
    <t>0449312498</t>
  </si>
  <si>
    <t>0445199835</t>
  </si>
  <si>
    <t>0248145442</t>
  </si>
  <si>
    <t>0449502415</t>
  </si>
  <si>
    <t>0451429023</t>
  </si>
  <si>
    <t>0448490528</t>
  </si>
  <si>
    <t>0625707089</t>
  </si>
  <si>
    <t>0450777941</t>
  </si>
  <si>
    <t>0438669042</t>
  </si>
  <si>
    <t>3434800996</t>
  </si>
  <si>
    <t>0443720918</t>
  </si>
  <si>
    <t>0451473927</t>
  </si>
  <si>
    <t>0639686934</t>
  </si>
  <si>
    <t>0441025217</t>
  </si>
  <si>
    <t>0208541316</t>
  </si>
  <si>
    <t>0429572960</t>
  </si>
  <si>
    <t>0110593384</t>
  </si>
  <si>
    <t>3387543229</t>
  </si>
  <si>
    <t>0445112553</t>
  </si>
  <si>
    <t>0448004134</t>
  </si>
  <si>
    <t>0515376274</t>
  </si>
  <si>
    <t>0447026870</t>
  </si>
  <si>
    <t>3437317318</t>
  </si>
  <si>
    <t>08-050681546-4</t>
  </si>
  <si>
    <t>19-052381422-6</t>
  </si>
  <si>
    <t>08-253774902-0</t>
  </si>
  <si>
    <t>18-250929948-0</t>
  </si>
  <si>
    <t>09-251416959-6</t>
  </si>
  <si>
    <t>08-250252987-7</t>
  </si>
  <si>
    <t>01-052170460-3</t>
  </si>
  <si>
    <t>09-25778568-7</t>
  </si>
  <si>
    <t>08-051411351-7</t>
  </si>
  <si>
    <t>08-252480545-2</t>
  </si>
  <si>
    <t>08-050581062-0</t>
  </si>
  <si>
    <t>04-025339468-6</t>
  </si>
  <si>
    <t>02-252845853-3</t>
  </si>
  <si>
    <t>08-250382155-5</t>
  </si>
  <si>
    <t>08-253064019-8</t>
  </si>
  <si>
    <t>08-051626987-5</t>
  </si>
  <si>
    <t>08-027157798-6</t>
  </si>
  <si>
    <t>08-250391547-9</t>
  </si>
  <si>
    <t>10-250933016-3</t>
  </si>
  <si>
    <t>10-250113454-3</t>
  </si>
  <si>
    <t>08-2530765594</t>
  </si>
  <si>
    <t>08-0227136759-0</t>
  </si>
  <si>
    <t>08-254903621-6</t>
  </si>
  <si>
    <t>08-051556789-9</t>
  </si>
  <si>
    <t>12-050735754-2</t>
  </si>
  <si>
    <t>08-051557078-4</t>
  </si>
  <si>
    <t>08-250286867-1</t>
  </si>
  <si>
    <t>09-251693054-5</t>
  </si>
  <si>
    <t>08-026913103-2</t>
  </si>
  <si>
    <t>21-251615565-2</t>
  </si>
  <si>
    <t>08-252622829-0</t>
  </si>
  <si>
    <t>01-051612879-3</t>
  </si>
  <si>
    <t>08-027127095-3</t>
  </si>
  <si>
    <t>08-250273258-3</t>
  </si>
  <si>
    <t>08-050623211-6</t>
  </si>
  <si>
    <t>12-025622481-5</t>
  </si>
  <si>
    <t>08-250015977-0</t>
  </si>
  <si>
    <t>08-026997555-9</t>
  </si>
  <si>
    <t>08-25429397-3</t>
  </si>
  <si>
    <t>08-050802361-1</t>
  </si>
  <si>
    <t>08-027141696-6</t>
  </si>
  <si>
    <t>08-250788898-0</t>
  </si>
  <si>
    <t>08-252151151-2</t>
  </si>
  <si>
    <t>08-026474171-1</t>
  </si>
  <si>
    <t>09-252943667-1</t>
  </si>
  <si>
    <t>19-052381541-9</t>
  </si>
  <si>
    <t>09-202627205-1</t>
  </si>
  <si>
    <t>01-050174184-7</t>
  </si>
  <si>
    <t>08-027235474-3</t>
  </si>
  <si>
    <t>08-026683378-8</t>
  </si>
  <si>
    <t>08-253016204-0</t>
  </si>
  <si>
    <t>19-089305702-5</t>
  </si>
  <si>
    <t>08-254000562-8</t>
  </si>
  <si>
    <t>08-026574772-1</t>
  </si>
  <si>
    <t>10-253062582-3</t>
  </si>
  <si>
    <t>08-026276485-4</t>
  </si>
  <si>
    <t>08-250379524-4</t>
  </si>
  <si>
    <t>02-251693986-2</t>
  </si>
  <si>
    <t>19-089305938-9</t>
  </si>
  <si>
    <t>19-090018258-2</t>
  </si>
  <si>
    <t>12-050338785-4</t>
  </si>
  <si>
    <t>02-250162922-0</t>
  </si>
  <si>
    <t>08-050852945-0</t>
  </si>
  <si>
    <t>08-026418243-7</t>
  </si>
  <si>
    <t>08-027050142-0</t>
  </si>
  <si>
    <t>09-254249913-5</t>
  </si>
  <si>
    <t>08-051061238-1</t>
  </si>
  <si>
    <t>08-026886407-9</t>
  </si>
  <si>
    <t>10-025368135-1</t>
  </si>
  <si>
    <t>08-026900547-9</t>
  </si>
  <si>
    <t>08-026929669-4</t>
  </si>
  <si>
    <t>08-051557086-5</t>
  </si>
  <si>
    <t>03-051175918-4</t>
  </si>
  <si>
    <t>08-051296176-6</t>
  </si>
  <si>
    <t>04-251161865-1</t>
  </si>
  <si>
    <t>08-051557087-3</t>
  </si>
  <si>
    <t>08-026580460-1</t>
  </si>
  <si>
    <t>08-027050154-4</t>
  </si>
  <si>
    <t>08-051340445-3</t>
  </si>
  <si>
    <t>19-052381603-2</t>
  </si>
  <si>
    <t>02-026491614-4</t>
  </si>
  <si>
    <t>1090-0274-9871</t>
  </si>
  <si>
    <t>1030-0000-8096</t>
  </si>
  <si>
    <t>1212-9297-2629</t>
  </si>
  <si>
    <t>1213-8446-8416</t>
  </si>
  <si>
    <t>1212-4834-8969</t>
  </si>
  <si>
    <t>1213-7431-1612</t>
  </si>
  <si>
    <t>1213-1734-1359</t>
  </si>
  <si>
    <t>1211-7658-7454</t>
  </si>
  <si>
    <t>1212-8620-8552</t>
  </si>
  <si>
    <t>1211-2330-0190</t>
  </si>
  <si>
    <t>1213-1808-1020</t>
  </si>
  <si>
    <t>1210-3140-1351</t>
  </si>
  <si>
    <t>1210-4207-7203</t>
  </si>
  <si>
    <t>1213-3021-1393</t>
  </si>
  <si>
    <t>1212-4767-9581</t>
  </si>
  <si>
    <t>1212-8605-0115</t>
  </si>
  <si>
    <t>1212-9186-3045</t>
  </si>
  <si>
    <t>1213-5268-6820</t>
  </si>
  <si>
    <t>1213-2485-3899</t>
  </si>
  <si>
    <t>1213-0444-8343</t>
  </si>
  <si>
    <t>1213-2318-8836</t>
  </si>
  <si>
    <t>1213-4577-7341</t>
  </si>
  <si>
    <t>1213-0259-9767</t>
  </si>
  <si>
    <t>1211-9372-9494</t>
  </si>
  <si>
    <t>1640-0180-2339</t>
  </si>
  <si>
    <t>1213-8294-8085</t>
  </si>
  <si>
    <t>1211-9342-0410</t>
  </si>
  <si>
    <t>1213-2348-3345</t>
  </si>
  <si>
    <t>1212-6515-9808</t>
  </si>
  <si>
    <t>1211-9348-6629</t>
  </si>
  <si>
    <t>1210-9750-5541</t>
  </si>
  <si>
    <t>1030-0000-8452</t>
  </si>
  <si>
    <t>1213-0273-9199</t>
  </si>
  <si>
    <t>1213-4098-2404</t>
  </si>
  <si>
    <t>1213-6872-9745</t>
  </si>
  <si>
    <t>1470-0035-6879</t>
  </si>
  <si>
    <t>1211-1716-5075</t>
  </si>
  <si>
    <t>1211-9862-2144</t>
  </si>
  <si>
    <t>1212-3369-7754</t>
  </si>
  <si>
    <t>1213-1357-6919</t>
  </si>
  <si>
    <t>1212-4919-2397</t>
  </si>
  <si>
    <t>1210-0471-3259</t>
  </si>
  <si>
    <t>1213-4640-8384</t>
  </si>
  <si>
    <t>1213-2188-3585</t>
  </si>
  <si>
    <t>1213-4531-7398</t>
  </si>
  <si>
    <t>1212-0516-9897</t>
  </si>
  <si>
    <t>1030-0000-8575</t>
  </si>
  <si>
    <t>1213-2749-6467</t>
  </si>
  <si>
    <t>1020-0045-7815</t>
  </si>
  <si>
    <t>1213-7774-7286</t>
  </si>
  <si>
    <t>1212-6607-5117</t>
  </si>
  <si>
    <t>121-4971-3484</t>
  </si>
  <si>
    <t>1030-0000-8641</t>
  </si>
  <si>
    <t>1212-2370-6134</t>
  </si>
  <si>
    <t>1212-4747-6091</t>
  </si>
  <si>
    <t>1213-0161-2090</t>
  </si>
  <si>
    <t>1211-9739-9104</t>
  </si>
  <si>
    <t>1212-8313-0745</t>
  </si>
  <si>
    <t>1212-4941-8896</t>
  </si>
  <si>
    <t>1030-0015-0743</t>
  </si>
  <si>
    <t>1030-0000-8830</t>
  </si>
  <si>
    <t>1030-0000-8706</t>
  </si>
  <si>
    <t>1213-1617-1143</t>
  </si>
  <si>
    <t>1210-6318-6426</t>
  </si>
  <si>
    <t>1212-0178-1664</t>
  </si>
  <si>
    <t>1213-4482-3811</t>
  </si>
  <si>
    <t>1213-4549-0959</t>
  </si>
  <si>
    <t>1210-0465-4323</t>
  </si>
  <si>
    <t>1212-9354-3261</t>
  </si>
  <si>
    <t>1212-5556-8806</t>
  </si>
  <si>
    <t>1213-3397-4636</t>
  </si>
  <si>
    <t>1213-2444-5367</t>
  </si>
  <si>
    <t>1211-9300-6236</t>
  </si>
  <si>
    <t>1211-1859-8517</t>
  </si>
  <si>
    <t>1210-8630-3342</t>
  </si>
  <si>
    <t>1213-1999-9494</t>
  </si>
  <si>
    <t>1212-4837-5581</t>
  </si>
  <si>
    <t>1213-6053-5302</t>
  </si>
  <si>
    <t>1210-8698-7233</t>
  </si>
  <si>
    <t>1030-0000-9027</t>
  </si>
  <si>
    <t>1211-4418-1915</t>
  </si>
  <si>
    <t>305139231</t>
  </si>
  <si>
    <t>219515476</t>
  </si>
  <si>
    <t>245278133</t>
  </si>
  <si>
    <t>266027899</t>
  </si>
  <si>
    <t>185976437</t>
  </si>
  <si>
    <t>238233954</t>
  </si>
  <si>
    <t>189078204</t>
  </si>
  <si>
    <t>224013907</t>
  </si>
  <si>
    <t>225924890</t>
  </si>
  <si>
    <t>229871312</t>
  </si>
  <si>
    <t>278100723</t>
  </si>
  <si>
    <t>641-646-467</t>
  </si>
  <si>
    <t>434056273</t>
  </si>
  <si>
    <t>178838486</t>
  </si>
  <si>
    <t>474600107</t>
  </si>
  <si>
    <t>College Graduate</t>
  </si>
  <si>
    <t>4006-2864-35</t>
  </si>
  <si>
    <t>0969-0805-59</t>
  </si>
  <si>
    <t>0969-6709-68</t>
  </si>
  <si>
    <t>0969-7827-02</t>
  </si>
  <si>
    <t>1809-3040-82</t>
  </si>
  <si>
    <t>0969-6433-08</t>
  </si>
  <si>
    <t>4989-3467-63</t>
  </si>
  <si>
    <t>0969-6498-29</t>
  </si>
  <si>
    <t>0969-8168-44</t>
  </si>
  <si>
    <t>0969-7902-92</t>
  </si>
  <si>
    <t>0969-6432-86</t>
  </si>
  <si>
    <t>0969-7796-71</t>
  </si>
  <si>
    <t>0969-6706-15</t>
  </si>
  <si>
    <t>0969-3702-71</t>
  </si>
  <si>
    <t>0639-8352-49</t>
  </si>
  <si>
    <t>0969-6462-34</t>
  </si>
  <si>
    <t>8939-4580-78</t>
  </si>
  <si>
    <t>1809-3032-99</t>
  </si>
  <si>
    <t>0969-8250-02</t>
  </si>
  <si>
    <t>0969-7826-98</t>
  </si>
  <si>
    <t>0969-6626-04</t>
  </si>
  <si>
    <t>0616-7763-49</t>
  </si>
  <si>
    <t>0969-6619-42</t>
  </si>
  <si>
    <t>0969-8214-99</t>
  </si>
  <si>
    <t>6089-0258-59</t>
  </si>
  <si>
    <t>0589-5327-63</t>
  </si>
  <si>
    <t>1129-4477-89</t>
  </si>
  <si>
    <t>0969-8249-95</t>
  </si>
  <si>
    <t>0969-4240-53</t>
  </si>
  <si>
    <t>0969-7827-28</t>
  </si>
  <si>
    <t>0969-6619-26</t>
  </si>
  <si>
    <t>0856-0576-68</t>
  </si>
  <si>
    <t>0969-7358-49</t>
  </si>
  <si>
    <t>4019-7468-62</t>
  </si>
  <si>
    <t>0969-3725-76</t>
  </si>
  <si>
    <t>0969-6198-19</t>
  </si>
  <si>
    <t>0969-8012-35</t>
  </si>
  <si>
    <t>0969-7358-22</t>
  </si>
  <si>
    <t>0969-8214-65</t>
  </si>
  <si>
    <t>0989-1249-35</t>
  </si>
  <si>
    <t>0969-4560-15</t>
  </si>
  <si>
    <t>0646-7959-26</t>
  </si>
  <si>
    <t>0969-8141-07</t>
  </si>
  <si>
    <t>0969-8207-86</t>
  </si>
  <si>
    <t>0969-6686-02</t>
  </si>
  <si>
    <t>0969-2418-11</t>
  </si>
  <si>
    <t>0609-6453-14</t>
  </si>
  <si>
    <t>1809-2655-29</t>
  </si>
  <si>
    <t>0969-8144-34</t>
  </si>
  <si>
    <t>0969-7773-93</t>
  </si>
  <si>
    <t>0969-0808-26</t>
  </si>
  <si>
    <t>0969-6665-29</t>
  </si>
  <si>
    <t>0969-2650-28</t>
  </si>
  <si>
    <t>0969-8168-35</t>
  </si>
  <si>
    <t>0969-8140-94</t>
  </si>
  <si>
    <t>8509-2525-44</t>
  </si>
  <si>
    <t>0969-3423-32</t>
  </si>
  <si>
    <t>0969-7826-72</t>
  </si>
  <si>
    <t>0969-6705-77</t>
  </si>
  <si>
    <t>4059-6710-75</t>
  </si>
  <si>
    <t>0969-8207-95</t>
  </si>
  <si>
    <t>0969-8214-81</t>
  </si>
  <si>
    <t>0969-7827-36</t>
  </si>
  <si>
    <t>0969-3132-86</t>
  </si>
  <si>
    <t>0969-0809-66</t>
  </si>
  <si>
    <t>0969-3993-85</t>
  </si>
  <si>
    <t>0969-8214-73</t>
  </si>
  <si>
    <t>0969-1829-47</t>
  </si>
  <si>
    <t>1279-2053-68</t>
  </si>
  <si>
    <t>0969-6626-12</t>
  </si>
  <si>
    <t>0969-8149-48</t>
  </si>
  <si>
    <t>0969-7430-27</t>
  </si>
  <si>
    <t>0969-4539-37</t>
  </si>
  <si>
    <t>0969-7729-19</t>
  </si>
  <si>
    <t>8509-2775-76</t>
  </si>
  <si>
    <t>4069-7911-67</t>
  </si>
  <si>
    <t>8509-3411-85</t>
  </si>
  <si>
    <t>0969-6664-72</t>
  </si>
  <si>
    <t>0969-4241-26</t>
  </si>
  <si>
    <t>0969-7430-86</t>
  </si>
  <si>
    <t>0969-4539-62</t>
  </si>
  <si>
    <t>0969-7430-35</t>
  </si>
  <si>
    <t>0969-7376-12</t>
  </si>
  <si>
    <t>0969-4773-94</t>
  </si>
  <si>
    <t>8939-5531-94</t>
  </si>
  <si>
    <t>0969-3993-93</t>
  </si>
  <si>
    <t>0969-0810-67</t>
  </si>
  <si>
    <t>0969-4316-45</t>
  </si>
  <si>
    <t>Regular</t>
  </si>
  <si>
    <t>Contractual</t>
  </si>
  <si>
    <t>Probationary</t>
  </si>
  <si>
    <t>Consultant</t>
  </si>
  <si>
    <t>Tenured</t>
  </si>
  <si>
    <t>non-tenured</t>
  </si>
  <si>
    <t>LET</t>
  </si>
  <si>
    <t>Non-LET</t>
  </si>
  <si>
    <t>San Francisco, Quezon</t>
  </si>
  <si>
    <t>Brgy. Inarawan, Antipolo City</t>
  </si>
  <si>
    <t>Diffun, Quirino</t>
  </si>
  <si>
    <t>San Rafael, Bulacan</t>
  </si>
  <si>
    <t>Gen. Trias, Cavite</t>
  </si>
  <si>
    <t>Dasmarinas City, Cavite</t>
  </si>
  <si>
    <t>Dasmarinas, Cavite</t>
  </si>
  <si>
    <t>Imus City, Cavite</t>
  </si>
  <si>
    <t>Sta. Rosa, Laguna</t>
  </si>
  <si>
    <t>Tabangao, Batangas</t>
  </si>
  <si>
    <t>Kaytapos, Indang</t>
  </si>
  <si>
    <t>Mauban, Quezon</t>
  </si>
  <si>
    <t>Trece Martirez, Cavite</t>
  </si>
  <si>
    <t>Cabuyao Martirez, Cavite</t>
  </si>
  <si>
    <t>Cavite Martirez, Cavite</t>
  </si>
  <si>
    <t>Macalelon, Quezon</t>
  </si>
  <si>
    <t>Malitbog, Bukidnon</t>
  </si>
  <si>
    <t>Taguig</t>
  </si>
  <si>
    <t>Nueva Viscaya</t>
  </si>
  <si>
    <t>Dasmarñas, Cavite</t>
  </si>
  <si>
    <t>0711188402</t>
  </si>
  <si>
    <t>0518393966</t>
  </si>
  <si>
    <t>0645278909</t>
  </si>
  <si>
    <t>0446001524</t>
  </si>
  <si>
    <t>3469971780</t>
  </si>
  <si>
    <t>0411322429</t>
  </si>
  <si>
    <t>0379769713</t>
  </si>
  <si>
    <t>0398072287</t>
  </si>
  <si>
    <t>0431722478</t>
  </si>
  <si>
    <t>02-050318430-4</t>
  </si>
  <si>
    <t>10-202806676-4</t>
  </si>
  <si>
    <t>02-250532643-5</t>
  </si>
  <si>
    <t>01-051136065-5</t>
  </si>
  <si>
    <t>09-251038398-4</t>
  </si>
  <si>
    <t>10-252771363-0</t>
  </si>
  <si>
    <t>19-089550616-1</t>
  </si>
  <si>
    <t>19-089305894-3</t>
  </si>
  <si>
    <t>09-050120615-5</t>
  </si>
  <si>
    <t>19-052381593-1</t>
  </si>
  <si>
    <t>19-026681636-0</t>
  </si>
  <si>
    <t>08-050521557-9</t>
  </si>
  <si>
    <t>08-050353984-9</t>
  </si>
  <si>
    <t>1030-0000-8129</t>
  </si>
  <si>
    <t>1213-5129-1544</t>
  </si>
  <si>
    <t>1213-1332-3706</t>
  </si>
  <si>
    <t>1213-2477-3160</t>
  </si>
  <si>
    <t>1213-0827-6996</t>
  </si>
  <si>
    <t>1210-4520-1382</t>
  </si>
  <si>
    <t>1030-0000-8775</t>
  </si>
  <si>
    <t>1030-0014-7008</t>
  </si>
  <si>
    <t>0000-0996-7421</t>
  </si>
  <si>
    <t>1210-2396-8655</t>
  </si>
  <si>
    <t>1210-8603-6731</t>
  </si>
  <si>
    <t>1030-0003-2622</t>
  </si>
  <si>
    <t>1010-0352-7442</t>
  </si>
  <si>
    <t>251490294</t>
  </si>
  <si>
    <t>382120963</t>
  </si>
  <si>
    <t>386261284</t>
  </si>
  <si>
    <t>645282518</t>
  </si>
  <si>
    <t>207301496</t>
  </si>
  <si>
    <t>207794595</t>
  </si>
  <si>
    <t>933498443</t>
  </si>
  <si>
    <t>101109756</t>
  </si>
  <si>
    <t>261480249</t>
  </si>
  <si>
    <t>239941625</t>
  </si>
  <si>
    <t>199946580</t>
  </si>
  <si>
    <t>Vocational Graduate</t>
  </si>
  <si>
    <t>Widowed</t>
  </si>
  <si>
    <t>0969-1236-22</t>
  </si>
  <si>
    <t>0969-7628-75</t>
  </si>
  <si>
    <t>0969-6664-99</t>
  </si>
  <si>
    <t>4056-0506-02</t>
  </si>
  <si>
    <t>0969-7461-66</t>
  </si>
  <si>
    <t>0969-6866-94</t>
  </si>
  <si>
    <t>8909-3134-28</t>
  </si>
  <si>
    <t>9819-5646-44</t>
  </si>
  <si>
    <t>0969-0816-28</t>
  </si>
  <si>
    <t>0969-0942-31</t>
  </si>
  <si>
    <t>8949-0483-15</t>
  </si>
  <si>
    <t>0969-7636-35</t>
  </si>
  <si>
    <t>8889-2293-82</t>
  </si>
  <si>
    <t>0969-8203-87</t>
  </si>
  <si>
    <t>0659-3368-94</t>
  </si>
  <si>
    <t>3289-1618-71</t>
  </si>
  <si>
    <t>0969-1291-83</t>
  </si>
  <si>
    <t>0576-1688-72</t>
  </si>
  <si>
    <t>0969-5015-97</t>
  </si>
  <si>
    <t>0969-8028-94</t>
  </si>
  <si>
    <t>0969-8197-88</t>
  </si>
  <si>
    <t>0969-8168-27</t>
  </si>
  <si>
    <t>0969-7556-32</t>
  </si>
  <si>
    <t>0969-8254-78</t>
  </si>
  <si>
    <t>0969-8254-52</t>
  </si>
  <si>
    <t>Jefferd</t>
  </si>
  <si>
    <t>Carpenter</t>
  </si>
  <si>
    <t>Main Office Staff</t>
  </si>
  <si>
    <t>Accounting Staff</t>
  </si>
  <si>
    <t>Engineer</t>
  </si>
  <si>
    <t>ARDC Staff</t>
  </si>
  <si>
    <t>Project &amp; Property Manager</t>
  </si>
  <si>
    <t>Office Staff</t>
  </si>
  <si>
    <t>Tanzania</t>
  </si>
  <si>
    <t>Accountant</t>
  </si>
  <si>
    <t>Finance Officer</t>
  </si>
  <si>
    <t>Caregiving Trainor</t>
  </si>
  <si>
    <t>HR Manager</t>
  </si>
  <si>
    <t>Facundo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</si>
</sst>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m/d/yyyy;@"/>
    <numFmt numFmtId="165" formatCode="mm/dd/yyyy;@"/>
    <numFmt numFmtId="166" formatCode="[$-409]mmmm\ d\,\ yyyy;@"/>
    <numFmt numFmtId="167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2"/>
      <name val="Tms Rmn"/>
    </font>
    <font>
      <sz val="12"/>
      <name val="Times New Roman"/>
      <family val="1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5">
    <xf numFmtId="0" fontId="0" fillId="0" borderId="0"/>
    <xf numFmtId="39" fontId="1" fillId="0" borderId="0"/>
    <xf numFmtId="4" fontId="2" fillId="0" borderId="0">
      <alignment horizontal="center" vertical="center"/>
    </xf>
    <xf numFmtId="0" fontId="4" fillId="0" borderId="0"/>
    <xf numFmtId="167" fontId="4" fillId="0" borderId="0" applyFont="0" applyFill="0" applyBorder="0" applyAlignment="0" applyProtection="0"/>
    <xf numFmtId="166" fontId="4" fillId="0" borderId="0"/>
    <xf numFmtId="0" fontId="5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43" fontId="5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39" fontId="6" fillId="0" borderId="1" xfId="1" applyFont="1" applyBorder="1" applyAlignment="1">
      <alignment horizontal="center" shrinkToFit="1"/>
    </xf>
    <xf numFmtId="39" fontId="6" fillId="0" borderId="1" xfId="1" applyFont="1" applyBorder="1" applyAlignment="1">
      <alignment horizontal="left" shrinkToFit="1"/>
    </xf>
    <xf numFmtId="164" fontId="6" fillId="0" borderId="1" xfId="0" applyNumberFormat="1" applyFont="1" applyBorder="1" applyAlignment="1">
      <alignment horizontal="center"/>
    </xf>
    <xf numFmtId="164" fontId="6" fillId="0" borderId="1" xfId="0" quotePrefix="1" applyNumberFormat="1" applyFont="1" applyBorder="1" applyAlignment="1">
      <alignment horizontal="center"/>
    </xf>
    <xf numFmtId="37" fontId="6" fillId="0" borderId="1" xfId="1" applyNumberFormat="1" applyFont="1" applyBorder="1" applyAlignment="1">
      <alignment horizontal="center" shrinkToFit="1"/>
    </xf>
    <xf numFmtId="164" fontId="6" fillId="0" borderId="1" xfId="1" applyNumberFormat="1" applyFont="1" applyBorder="1" applyAlignment="1">
      <alignment horizontal="center" shrinkToFit="1"/>
    </xf>
    <xf numFmtId="164" fontId="6" fillId="0" borderId="1" xfId="0" applyNumberFormat="1" applyFont="1" applyBorder="1" applyAlignment="1">
      <alignment horizontal="center" shrinkToFit="1"/>
    </xf>
    <xf numFmtId="164" fontId="6" fillId="0" borderId="1" xfId="0" quotePrefix="1" applyNumberFormat="1" applyFont="1" applyBorder="1" applyAlignment="1">
      <alignment horizontal="center" shrinkToFi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 applyProtection="1">
      <alignment horizontal="center" vertical="center"/>
      <protection locked="0"/>
    </xf>
    <xf numFmtId="0" fontId="6" fillId="0" borderId="1" xfId="0" applyFont="1" applyBorder="1" applyAlignment="1">
      <alignment horizontal="center" shrinkToFit="1"/>
    </xf>
    <xf numFmtId="4" fontId="6" fillId="0" borderId="1" xfId="2" applyFont="1" applyBorder="1" applyAlignment="1" applyProtection="1">
      <alignment vertical="center" shrinkToFit="1"/>
      <protection locked="0"/>
    </xf>
    <xf numFmtId="4" fontId="6" fillId="0" borderId="1" xfId="2" applyFont="1" applyBorder="1" applyAlignment="1" applyProtection="1">
      <alignment horizontal="left" vertical="center" shrinkToFit="1"/>
      <protection locked="0"/>
    </xf>
    <xf numFmtId="3" fontId="6" fillId="0" borderId="1" xfId="2" applyNumberFormat="1" applyFont="1" applyBorder="1" applyProtection="1">
      <alignment horizontal="center" vertical="center"/>
      <protection locked="0"/>
    </xf>
    <xf numFmtId="49" fontId="6" fillId="0" borderId="1" xfId="4" applyNumberFormat="1" applyFont="1" applyFill="1" applyBorder="1" applyAlignment="1" applyProtection="1">
      <alignment horizontal="left" vertical="center" shrinkToFit="1"/>
      <protection locked="0"/>
    </xf>
    <xf numFmtId="166" fontId="6" fillId="0" borderId="1" xfId="5" applyFont="1" applyBorder="1" applyAlignment="1" applyProtection="1">
      <alignment horizontal="center"/>
      <protection locked="0"/>
    </xf>
    <xf numFmtId="166" fontId="6" fillId="0" borderId="1" xfId="5" applyFont="1" applyBorder="1" applyProtection="1">
      <protection locked="0"/>
    </xf>
    <xf numFmtId="166" fontId="6" fillId="0" borderId="1" xfId="5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6" fillId="0" borderId="1" xfId="3" applyFont="1" applyBorder="1" applyAlignment="1">
      <alignment horizontal="left" vertical="center"/>
    </xf>
    <xf numFmtId="4" fontId="6" fillId="0" borderId="1" xfId="2" applyFont="1" applyBorder="1">
      <alignment horizontal="center" vertical="center"/>
    </xf>
    <xf numFmtId="164" fontId="0" fillId="0" borderId="1" xfId="0" applyNumberForma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6" fillId="2" borderId="1" xfId="0" applyFont="1" applyFill="1" applyBorder="1" applyAlignment="1">
      <alignment horizontal="left"/>
    </xf>
    <xf numFmtId="0" fontId="6" fillId="0" borderId="1" xfId="10" applyFont="1" applyBorder="1" applyAlignment="1">
      <alignment horizontal="left" vertical="center"/>
    </xf>
    <xf numFmtId="164" fontId="6" fillId="3" borderId="1" xfId="0" applyNumberFormat="1" applyFont="1" applyFill="1" applyBorder="1" applyAlignment="1">
      <alignment horizontal="center" shrinkToFit="1"/>
    </xf>
    <xf numFmtId="164" fontId="3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43" fontId="0" fillId="0" borderId="0" xfId="14" applyFont="1"/>
    <xf numFmtId="43" fontId="3" fillId="0" borderId="1" xfId="14" applyFont="1" applyBorder="1" applyAlignment="1">
      <alignment horizontal="center"/>
    </xf>
    <xf numFmtId="43" fontId="0" fillId="0" borderId="1" xfId="14" applyFont="1" applyBorder="1"/>
    <xf numFmtId="0" fontId="9" fillId="5" borderId="1" xfId="0" applyFont="1" applyFill="1" applyBorder="1" applyAlignment="1">
      <alignment horizontal="center"/>
    </xf>
    <xf numFmtId="0" fontId="8" fillId="5" borderId="1" xfId="0" applyFont="1" applyFill="1" applyBorder="1"/>
    <xf numFmtId="165" fontId="0" fillId="0" borderId="1" xfId="0" applyNumberFormat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Fill="1" applyBorder="1"/>
  </cellXfs>
  <cellStyles count="15">
    <cellStyle name="Comma" xfId="14" builtinId="3"/>
    <cellStyle name="Comma 2" xfId="7" xr:uid="{8E7B0CDB-2DBC-4E19-950C-BF4D0EA5124A}"/>
    <cellStyle name="Comma 2 2" xfId="8" xr:uid="{588AF114-367A-4F6E-9016-E4823AFF0FA5}"/>
    <cellStyle name="Comma 2 2 2" xfId="4" xr:uid="{3D573C9E-4799-425B-9985-A20CE5E26FD2}"/>
    <cellStyle name="Comma 2 2 2 2" xfId="9" xr:uid="{733FB22A-5058-4D41-8AE6-D445A31A1F15}"/>
    <cellStyle name="Comma 3" xfId="13" xr:uid="{F4701B13-66D3-46B6-8675-CA3C2C54334C}"/>
    <cellStyle name="Normal" xfId="0" builtinId="0"/>
    <cellStyle name="Normal 2" xfId="3" xr:uid="{20A23AB5-7344-4191-8F0E-439DF49A828E}"/>
    <cellStyle name="Normal 2 2" xfId="5" xr:uid="{D442FAA7-114F-4E30-ADB4-7AB8B84D5276}"/>
    <cellStyle name="Normal 2 2 2" xfId="11" xr:uid="{67FB71A8-ACF5-4022-AE75-B6354059E86B}"/>
    <cellStyle name="Normal 2 2 4" xfId="12" xr:uid="{7E2E04E4-766F-46E7-BD05-D4D122113303}"/>
    <cellStyle name="Normal 2 3" xfId="10" xr:uid="{A3C3D255-2A12-4A6E-8D16-86C54720A390}"/>
    <cellStyle name="Normal 3" xfId="6" xr:uid="{CAA4A56E-D965-4627-A26E-87DF8BFC25CC}"/>
    <cellStyle name="Normal_FEB28-W" xfId="2" xr:uid="{37B06AA3-E57D-4BE7-BDBD-BF53AC3AF779}"/>
    <cellStyle name="Normal_TEACHERS" xfId="1" xr:uid="{A40311A5-754D-48AC-88F8-E63E295EE581}"/>
  </cellStyles>
  <dxfs count="19">
    <dxf>
      <fill>
        <patternFill>
          <bgColor rgb="FF990000"/>
        </patternFill>
      </fill>
    </dxf>
    <dxf>
      <fill>
        <patternFill>
          <bgColor rgb="FF990000"/>
        </patternFill>
      </fill>
    </dxf>
    <dxf>
      <fill>
        <patternFill>
          <bgColor rgb="FF990000"/>
        </patternFill>
      </fill>
    </dxf>
    <dxf>
      <fill>
        <patternFill>
          <bgColor rgb="FF990000"/>
        </patternFill>
      </fill>
    </dxf>
    <dxf>
      <fill>
        <patternFill>
          <bgColor rgb="FF990000"/>
        </patternFill>
      </fill>
    </dxf>
    <dxf>
      <fill>
        <patternFill>
          <bgColor rgb="FF990000"/>
        </patternFill>
      </fill>
    </dxf>
    <dxf>
      <fill>
        <patternFill>
          <bgColor rgb="FF800000"/>
        </patternFill>
      </fill>
    </dxf>
    <dxf>
      <fill>
        <patternFill>
          <bgColor rgb="FF800000"/>
        </patternFill>
      </fill>
    </dxf>
    <dxf>
      <fill>
        <patternFill>
          <bgColor rgb="FF800000"/>
        </patternFill>
      </fill>
    </dxf>
    <dxf>
      <fill>
        <patternFill>
          <bgColor rgb="FF990000"/>
        </patternFill>
      </fill>
    </dxf>
    <dxf>
      <fill>
        <patternFill>
          <bgColor rgb="FF990000"/>
        </patternFill>
      </fill>
    </dxf>
    <dxf>
      <fill>
        <patternFill>
          <bgColor rgb="FF990000"/>
        </patternFill>
      </fill>
    </dxf>
    <dxf>
      <fill>
        <patternFill>
          <bgColor rgb="FF990000"/>
        </patternFill>
      </fill>
    </dxf>
    <dxf>
      <fill>
        <patternFill>
          <bgColor rgb="FF800000"/>
        </patternFill>
      </fill>
    </dxf>
    <dxf>
      <fill>
        <patternFill>
          <bgColor rgb="FF990000"/>
        </patternFill>
      </fill>
    </dxf>
    <dxf>
      <fill>
        <patternFill>
          <bgColor rgb="FF990000"/>
        </patternFill>
      </fill>
    </dxf>
    <dxf>
      <fill>
        <patternFill>
          <bgColor rgb="FF990000"/>
        </patternFill>
      </fill>
    </dxf>
    <dxf>
      <fill>
        <patternFill>
          <bgColor rgb="FF990000"/>
        </patternFill>
      </fill>
    </dxf>
    <dxf>
      <fill>
        <patternFill>
          <bgColor rgb="FF99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H184"/>
  <sheetViews>
    <sheetView tabSelected="1" workbookViewId="0">
      <pane xSplit="6" ySplit="2" topLeftCell="G168" activePane="bottomRight" state="frozen"/>
      <selection pane="topRight" activeCell="G1" sqref="G1"/>
      <selection pane="bottomLeft" activeCell="A3" sqref="A3"/>
      <selection pane="bottomRight" activeCell="I190" sqref="I190"/>
    </sheetView>
  </sheetViews>
  <sheetFormatPr defaultRowHeight="15" x14ac:dyDescent="0.25"/>
  <cols>
    <col min="1" max="6" width="14.42578125" customWidth="1"/>
    <col min="7" max="7" width="14.28515625" customWidth="1"/>
    <col min="8" max="8" width="40.5703125" customWidth="1"/>
    <col min="9" max="9" width="78.28515625" style="2" customWidth="1"/>
    <col min="10" max="10" width="29.85546875" bestFit="1" customWidth="1"/>
    <col min="11" max="11" width="22.5703125" bestFit="1" customWidth="1"/>
    <col min="12" max="12" width="24.85546875" bestFit="1" customWidth="1"/>
    <col min="13" max="13" width="25" style="34" bestFit="1" customWidth="1"/>
    <col min="14" max="14" width="27" bestFit="1" customWidth="1"/>
    <col min="15" max="15" width="30.28515625" bestFit="1" customWidth="1"/>
    <col min="16" max="16" width="33" bestFit="1" customWidth="1"/>
    <col min="17" max="17" width="30.42578125" style="37" bestFit="1" customWidth="1"/>
    <col min="18" max="18" width="31.28515625" style="37" bestFit="1" customWidth="1"/>
    <col min="19" max="19" width="32.7109375" style="37" bestFit="1" customWidth="1"/>
    <col min="20" max="20" width="22.28515625" bestFit="1" customWidth="1"/>
    <col min="21" max="21" width="28.5703125" bestFit="1" customWidth="1"/>
    <col min="22" max="22" width="29.85546875" bestFit="1" customWidth="1"/>
    <col min="23" max="23" width="31" bestFit="1" customWidth="1"/>
    <col min="24" max="24" width="25.140625" bestFit="1" customWidth="1"/>
    <col min="25" max="25" width="28.7109375" bestFit="1" customWidth="1"/>
    <col min="26" max="26" width="31.28515625" bestFit="1" customWidth="1"/>
    <col min="27" max="27" width="24.140625" bestFit="1" customWidth="1"/>
    <col min="28" max="28" width="29.140625" bestFit="1" customWidth="1"/>
    <col min="29" max="29" width="33.85546875" bestFit="1" customWidth="1"/>
    <col min="30" max="30" width="25.28515625" bestFit="1" customWidth="1"/>
    <col min="31" max="31" width="30.140625" bestFit="1" customWidth="1"/>
    <col min="32" max="32" width="39.42578125" bestFit="1" customWidth="1"/>
    <col min="33" max="33" width="34.28515625" bestFit="1" customWidth="1"/>
    <col min="34" max="34" width="22.5703125" bestFit="1" customWidth="1"/>
    <col min="35" max="35" width="36.5703125" bestFit="1" customWidth="1"/>
  </cols>
  <sheetData>
    <row r="2" spans="1:112" x14ac:dyDescent="0.25">
      <c r="A2" s="23" t="s">
        <v>30</v>
      </c>
      <c r="B2" s="23" t="s">
        <v>0</v>
      </c>
      <c r="C2" s="23" t="s">
        <v>1</v>
      </c>
      <c r="D2" s="23" t="s">
        <v>2</v>
      </c>
      <c r="E2" s="23" t="s">
        <v>3</v>
      </c>
      <c r="F2" s="23" t="s">
        <v>4</v>
      </c>
      <c r="G2" s="23" t="s">
        <v>5</v>
      </c>
      <c r="H2" s="23" t="s">
        <v>6</v>
      </c>
      <c r="I2" s="23" t="s">
        <v>7</v>
      </c>
      <c r="J2" s="23" t="s">
        <v>8</v>
      </c>
      <c r="K2" s="23" t="s">
        <v>9</v>
      </c>
      <c r="L2" s="23" t="s">
        <v>10</v>
      </c>
      <c r="M2" s="33" t="s">
        <v>11</v>
      </c>
      <c r="N2" s="23" t="s">
        <v>12</v>
      </c>
      <c r="O2" s="23" t="s">
        <v>13</v>
      </c>
      <c r="P2" s="23" t="s">
        <v>14</v>
      </c>
      <c r="Q2" s="38" t="s">
        <v>15</v>
      </c>
      <c r="R2" s="38" t="s">
        <v>16</v>
      </c>
      <c r="S2" s="38" t="s">
        <v>17</v>
      </c>
      <c r="T2" s="23" t="s">
        <v>18</v>
      </c>
      <c r="U2" s="23" t="s">
        <v>19</v>
      </c>
      <c r="V2" s="23" t="s">
        <v>20</v>
      </c>
      <c r="W2" s="23" t="s">
        <v>21</v>
      </c>
      <c r="X2" s="23" t="s">
        <v>22</v>
      </c>
      <c r="Y2" s="23" t="s">
        <v>23</v>
      </c>
      <c r="Z2" s="23" t="s">
        <v>24</v>
      </c>
      <c r="AA2" s="23" t="s">
        <v>25</v>
      </c>
      <c r="AB2" s="23" t="s">
        <v>26</v>
      </c>
      <c r="AC2" s="40" t="s">
        <v>27</v>
      </c>
      <c r="AD2" s="40" t="s">
        <v>28</v>
      </c>
      <c r="AE2" s="23" t="s">
        <v>29</v>
      </c>
      <c r="AF2" s="23" t="s">
        <v>31</v>
      </c>
      <c r="AG2" s="23" t="s">
        <v>32</v>
      </c>
      <c r="AH2" s="23" t="s">
        <v>34</v>
      </c>
      <c r="AI2" s="23" t="s">
        <v>33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</row>
    <row r="3" spans="1:112" x14ac:dyDescent="0.25">
      <c r="A3" s="3">
        <v>64</v>
      </c>
      <c r="B3" s="4" t="s">
        <v>35</v>
      </c>
      <c r="C3" s="1" t="s">
        <v>231</v>
      </c>
      <c r="D3" s="5" t="s">
        <v>100</v>
      </c>
      <c r="E3" s="3" t="s">
        <v>233</v>
      </c>
      <c r="F3" s="5" t="s">
        <v>165</v>
      </c>
      <c r="G3" s="3"/>
      <c r="H3" s="3" t="s">
        <v>329</v>
      </c>
      <c r="I3" s="24" t="s">
        <v>477</v>
      </c>
      <c r="J3" s="3" t="s">
        <v>556</v>
      </c>
      <c r="K3" s="6">
        <v>32044</v>
      </c>
      <c r="L3" s="32">
        <v>41010</v>
      </c>
      <c r="M3" s="35">
        <v>42111</v>
      </c>
      <c r="N3" s="3" t="s">
        <v>1082</v>
      </c>
      <c r="O3" s="3" t="s">
        <v>1087</v>
      </c>
      <c r="P3" s="3"/>
      <c r="Q3" s="39">
        <v>34332</v>
      </c>
      <c r="R3" s="39">
        <f>+Q3*12/365</f>
        <v>1128.7232876712328</v>
      </c>
      <c r="S3" s="39">
        <f>+R3/8</f>
        <v>141.0904109589041</v>
      </c>
      <c r="T3" s="3" t="s">
        <v>1105</v>
      </c>
      <c r="U3" s="1">
        <v>3399355036</v>
      </c>
      <c r="V3" s="1" t="s">
        <v>1130</v>
      </c>
      <c r="W3" s="1" t="s">
        <v>1211</v>
      </c>
      <c r="X3" s="1" t="s">
        <v>1292</v>
      </c>
      <c r="Y3" s="3" t="s">
        <v>1307</v>
      </c>
      <c r="Z3" s="3"/>
      <c r="AA3" s="3"/>
      <c r="AB3" s="1" t="s">
        <v>1308</v>
      </c>
      <c r="AC3" s="41"/>
      <c r="AD3" s="41"/>
      <c r="AE3" s="3"/>
      <c r="AF3" s="3" t="s">
        <v>1396</v>
      </c>
      <c r="AG3" s="3" t="s">
        <v>1400</v>
      </c>
      <c r="AH3" s="3" t="s">
        <v>1402</v>
      </c>
      <c r="AI3" s="3">
        <v>365</v>
      </c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</row>
    <row r="4" spans="1:112" x14ac:dyDescent="0.25">
      <c r="A4" s="3">
        <v>101</v>
      </c>
      <c r="B4" s="4" t="s">
        <v>36</v>
      </c>
      <c r="C4" s="1" t="s">
        <v>231</v>
      </c>
      <c r="D4" s="5" t="s">
        <v>101</v>
      </c>
      <c r="E4" s="3"/>
      <c r="F4" s="5" t="s">
        <v>166</v>
      </c>
      <c r="G4" s="3"/>
      <c r="H4" s="3" t="s">
        <v>330</v>
      </c>
      <c r="I4" s="24" t="s">
        <v>478</v>
      </c>
      <c r="J4" s="3" t="s">
        <v>557</v>
      </c>
      <c r="K4" s="7">
        <v>27536</v>
      </c>
      <c r="L4" s="32">
        <v>35914</v>
      </c>
      <c r="M4" s="35">
        <v>36982</v>
      </c>
      <c r="N4" s="3" t="s">
        <v>1082</v>
      </c>
      <c r="O4" s="3" t="s">
        <v>1094</v>
      </c>
      <c r="P4" s="3"/>
      <c r="Q4" s="39">
        <v>39296</v>
      </c>
      <c r="R4" s="39">
        <f t="shared" ref="R4:R67" si="0">+Q4*12/365</f>
        <v>1291.9232876712329</v>
      </c>
      <c r="S4" s="39">
        <f t="shared" ref="S4:S67" si="1">+R4/8</f>
        <v>161.49041095890411</v>
      </c>
      <c r="T4" s="3" t="s">
        <v>1106</v>
      </c>
      <c r="U4" s="1">
        <v>3327186277</v>
      </c>
      <c r="V4" s="1" t="s">
        <v>1131</v>
      </c>
      <c r="W4" s="1" t="s">
        <v>1212</v>
      </c>
      <c r="X4" s="1" t="s">
        <v>1293</v>
      </c>
      <c r="Y4" s="3" t="s">
        <v>1307</v>
      </c>
      <c r="Z4" s="3"/>
      <c r="AA4" s="3"/>
      <c r="AB4" s="1" t="s">
        <v>1309</v>
      </c>
      <c r="AC4" s="41"/>
      <c r="AD4" s="41"/>
      <c r="AE4" s="3"/>
      <c r="AF4" s="3" t="s">
        <v>1396</v>
      </c>
      <c r="AG4" s="3" t="s">
        <v>1400</v>
      </c>
      <c r="AH4" s="3" t="s">
        <v>1402</v>
      </c>
      <c r="AI4" s="3">
        <v>365</v>
      </c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</row>
    <row r="5" spans="1:112" x14ac:dyDescent="0.25">
      <c r="A5" s="3">
        <v>157</v>
      </c>
      <c r="B5" s="8" t="s">
        <v>37</v>
      </c>
      <c r="C5" s="1" t="s">
        <v>231</v>
      </c>
      <c r="D5" s="5" t="s">
        <v>102</v>
      </c>
      <c r="E5" s="3" t="s">
        <v>234</v>
      </c>
      <c r="F5" s="5" t="s">
        <v>167</v>
      </c>
      <c r="G5" s="3"/>
      <c r="H5" s="3" t="s">
        <v>331</v>
      </c>
      <c r="I5" s="24" t="s">
        <v>479</v>
      </c>
      <c r="J5" s="3" t="s">
        <v>558</v>
      </c>
      <c r="K5" s="9">
        <v>37051</v>
      </c>
      <c r="L5" s="32">
        <v>45180</v>
      </c>
      <c r="M5" s="35">
        <v>46276</v>
      </c>
      <c r="N5" s="3" t="s">
        <v>1082</v>
      </c>
      <c r="O5" s="3" t="s">
        <v>1085</v>
      </c>
      <c r="P5" s="3"/>
      <c r="Q5" s="39">
        <v>26521</v>
      </c>
      <c r="R5" s="39">
        <f t="shared" si="0"/>
        <v>871.92328767123286</v>
      </c>
      <c r="S5" s="39">
        <f t="shared" si="1"/>
        <v>108.99041095890411</v>
      </c>
      <c r="T5" s="3" t="s">
        <v>1106</v>
      </c>
      <c r="U5" s="1"/>
      <c r="V5" s="1"/>
      <c r="W5" s="1"/>
      <c r="X5" s="1"/>
      <c r="Y5" s="3" t="s">
        <v>1307</v>
      </c>
      <c r="Z5" s="3"/>
      <c r="AA5" s="3"/>
      <c r="AB5" s="1" t="s">
        <v>1310</v>
      </c>
      <c r="AC5" s="41"/>
      <c r="AD5" s="41"/>
      <c r="AE5" s="3"/>
      <c r="AF5" s="3" t="s">
        <v>1396</v>
      </c>
      <c r="AG5" s="3" t="s">
        <v>1400</v>
      </c>
      <c r="AH5" s="3" t="s">
        <v>1402</v>
      </c>
      <c r="AI5" s="3">
        <v>365</v>
      </c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</row>
    <row r="6" spans="1:112" x14ac:dyDescent="0.25">
      <c r="A6" s="3">
        <v>189</v>
      </c>
      <c r="B6" s="8" t="s">
        <v>38</v>
      </c>
      <c r="C6" s="1" t="s">
        <v>231</v>
      </c>
      <c r="D6" s="5" t="s">
        <v>103</v>
      </c>
      <c r="E6" s="3" t="s">
        <v>235</v>
      </c>
      <c r="F6" s="5" t="s">
        <v>168</v>
      </c>
      <c r="G6" s="3"/>
      <c r="H6" s="3" t="s">
        <v>332</v>
      </c>
      <c r="I6" s="24" t="s">
        <v>480</v>
      </c>
      <c r="J6" s="3" t="s">
        <v>556</v>
      </c>
      <c r="K6" s="9">
        <v>37238</v>
      </c>
      <c r="L6" s="10">
        <v>45870</v>
      </c>
      <c r="M6" s="36"/>
      <c r="N6" s="3" t="s">
        <v>1082</v>
      </c>
      <c r="O6" s="3" t="s">
        <v>1090</v>
      </c>
      <c r="P6" s="3"/>
      <c r="Q6" s="39">
        <v>21007</v>
      </c>
      <c r="R6" s="39">
        <f t="shared" si="0"/>
        <v>690.64109589041095</v>
      </c>
      <c r="S6" s="39">
        <f t="shared" si="1"/>
        <v>86.330136986301369</v>
      </c>
      <c r="T6" s="3" t="s">
        <v>1106</v>
      </c>
      <c r="U6" s="1">
        <v>3512877702</v>
      </c>
      <c r="V6" s="1" t="s">
        <v>1132</v>
      </c>
      <c r="W6" s="1" t="s">
        <v>1213</v>
      </c>
      <c r="X6" s="1">
        <v>676094380</v>
      </c>
      <c r="Y6" s="3" t="s">
        <v>1307</v>
      </c>
      <c r="Z6" s="3"/>
      <c r="AA6" s="3"/>
      <c r="AB6" s="1" t="s">
        <v>1311</v>
      </c>
      <c r="AC6" s="41"/>
      <c r="AD6" s="41"/>
      <c r="AE6" s="3"/>
      <c r="AF6" s="3" t="s">
        <v>1397</v>
      </c>
      <c r="AG6" s="3" t="s">
        <v>1401</v>
      </c>
      <c r="AH6" s="3" t="s">
        <v>1402</v>
      </c>
      <c r="AI6" s="3">
        <v>365</v>
      </c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</row>
    <row r="7" spans="1:112" x14ac:dyDescent="0.25">
      <c r="A7" s="3">
        <v>124</v>
      </c>
      <c r="B7" s="4" t="s">
        <v>453</v>
      </c>
      <c r="C7" s="1"/>
      <c r="D7" s="5" t="s">
        <v>236</v>
      </c>
      <c r="E7" s="3" t="s">
        <v>237</v>
      </c>
      <c r="F7" s="5" t="s">
        <v>238</v>
      </c>
      <c r="G7" s="3"/>
      <c r="H7" s="3" t="s">
        <v>333</v>
      </c>
      <c r="I7" s="24" t="s">
        <v>481</v>
      </c>
      <c r="J7" s="3" t="s">
        <v>556</v>
      </c>
      <c r="K7" s="9">
        <v>38093</v>
      </c>
      <c r="L7" s="10">
        <v>46219</v>
      </c>
      <c r="M7" s="36"/>
      <c r="N7" s="3" t="s">
        <v>1082</v>
      </c>
      <c r="O7" s="3" t="s">
        <v>1090</v>
      </c>
      <c r="P7" s="3"/>
      <c r="Q7" s="39">
        <v>17529</v>
      </c>
      <c r="R7" s="39">
        <f t="shared" si="0"/>
        <v>576.29589041095892</v>
      </c>
      <c r="S7" s="39">
        <f t="shared" si="1"/>
        <v>72.036986301369865</v>
      </c>
      <c r="T7" s="3" t="s">
        <v>1106</v>
      </c>
      <c r="U7" s="1">
        <v>3544324582</v>
      </c>
      <c r="V7" s="1"/>
      <c r="W7" s="1" t="s">
        <v>1214</v>
      </c>
      <c r="X7" s="1"/>
      <c r="Y7" s="3" t="s">
        <v>1307</v>
      </c>
      <c r="Z7" s="3"/>
      <c r="AA7" s="3"/>
      <c r="AB7" s="1" t="s">
        <v>1312</v>
      </c>
      <c r="AC7" s="41"/>
      <c r="AD7" s="41"/>
      <c r="AE7" s="3"/>
      <c r="AF7" s="3" t="s">
        <v>1397</v>
      </c>
      <c r="AG7" s="3" t="s">
        <v>1401</v>
      </c>
      <c r="AH7" s="3" t="s">
        <v>1403</v>
      </c>
      <c r="AI7" s="3">
        <v>365</v>
      </c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</row>
    <row r="8" spans="1:112" x14ac:dyDescent="0.25">
      <c r="A8" s="3">
        <v>119</v>
      </c>
      <c r="B8" s="8" t="s">
        <v>39</v>
      </c>
      <c r="C8" s="1" t="s">
        <v>231</v>
      </c>
      <c r="D8" s="5" t="s">
        <v>104</v>
      </c>
      <c r="E8" s="3" t="s">
        <v>239</v>
      </c>
      <c r="F8" s="5" t="s">
        <v>169</v>
      </c>
      <c r="G8" s="3"/>
      <c r="H8" s="3" t="s">
        <v>334</v>
      </c>
      <c r="I8" s="24" t="s">
        <v>482</v>
      </c>
      <c r="J8" s="3" t="s">
        <v>569</v>
      </c>
      <c r="K8" s="9">
        <v>36494</v>
      </c>
      <c r="L8" s="32">
        <v>44974</v>
      </c>
      <c r="M8" s="35">
        <v>46070</v>
      </c>
      <c r="N8" s="3" t="s">
        <v>1082</v>
      </c>
      <c r="O8" s="3" t="s">
        <v>1104</v>
      </c>
      <c r="P8" s="3"/>
      <c r="Q8" s="39">
        <v>27853</v>
      </c>
      <c r="R8" s="39">
        <f t="shared" si="0"/>
        <v>915.71506849315074</v>
      </c>
      <c r="S8" s="39">
        <f t="shared" si="1"/>
        <v>114.46438356164384</v>
      </c>
      <c r="T8" s="3" t="s">
        <v>1106</v>
      </c>
      <c r="U8" s="1">
        <v>3483943299</v>
      </c>
      <c r="V8" s="1" t="s">
        <v>1133</v>
      </c>
      <c r="W8" s="1" t="s">
        <v>1215</v>
      </c>
      <c r="X8" s="1">
        <v>511563363</v>
      </c>
      <c r="Y8" s="3" t="s">
        <v>1307</v>
      </c>
      <c r="Z8" s="3"/>
      <c r="AA8" s="3"/>
      <c r="AB8" s="1" t="s">
        <v>1313</v>
      </c>
      <c r="AC8" s="41"/>
      <c r="AD8" s="41"/>
      <c r="AE8" s="3"/>
      <c r="AF8" s="3" t="s">
        <v>1396</v>
      </c>
      <c r="AG8" s="3" t="s">
        <v>1400</v>
      </c>
      <c r="AH8" s="3" t="s">
        <v>1402</v>
      </c>
      <c r="AI8" s="3">
        <v>365</v>
      </c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</row>
    <row r="9" spans="1:112" x14ac:dyDescent="0.25">
      <c r="A9" s="3">
        <v>121</v>
      </c>
      <c r="B9" s="8" t="s">
        <v>457</v>
      </c>
      <c r="C9" s="1"/>
      <c r="D9" s="5" t="s">
        <v>240</v>
      </c>
      <c r="E9" s="3" t="s">
        <v>241</v>
      </c>
      <c r="F9" s="5" t="s">
        <v>242</v>
      </c>
      <c r="G9" s="3"/>
      <c r="H9" s="3" t="s">
        <v>335</v>
      </c>
      <c r="I9" s="24" t="s">
        <v>483</v>
      </c>
      <c r="J9" s="3" t="s">
        <v>559</v>
      </c>
      <c r="K9" s="9">
        <v>37757</v>
      </c>
      <c r="L9" s="10">
        <v>46076</v>
      </c>
      <c r="M9" s="36"/>
      <c r="N9" s="3" t="s">
        <v>1082</v>
      </c>
      <c r="O9" s="3" t="s">
        <v>1099</v>
      </c>
      <c r="P9" s="3"/>
      <c r="Q9" s="39">
        <v>20007</v>
      </c>
      <c r="R9" s="39">
        <f t="shared" si="0"/>
        <v>657.76438356164385</v>
      </c>
      <c r="S9" s="39">
        <f t="shared" si="1"/>
        <v>82.220547945205482</v>
      </c>
      <c r="T9" s="3" t="s">
        <v>1106</v>
      </c>
      <c r="U9" s="1" t="s">
        <v>1107</v>
      </c>
      <c r="V9" s="1" t="s">
        <v>1134</v>
      </c>
      <c r="W9" s="1" t="s">
        <v>1216</v>
      </c>
      <c r="X9" s="1">
        <v>686840633</v>
      </c>
      <c r="Y9" s="3" t="s">
        <v>1307</v>
      </c>
      <c r="Z9" s="3"/>
      <c r="AA9" s="3"/>
      <c r="AB9" s="1" t="s">
        <v>1314</v>
      </c>
      <c r="AC9" s="41"/>
      <c r="AD9" s="41"/>
      <c r="AE9" s="3"/>
      <c r="AF9" s="3" t="s">
        <v>1397</v>
      </c>
      <c r="AG9" s="3" t="s">
        <v>1401</v>
      </c>
      <c r="AH9" s="3" t="s">
        <v>1402</v>
      </c>
      <c r="AI9" s="3">
        <v>365</v>
      </c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</row>
    <row r="10" spans="1:112" x14ac:dyDescent="0.25">
      <c r="A10" s="3">
        <v>122</v>
      </c>
      <c r="B10" s="8" t="s">
        <v>40</v>
      </c>
      <c r="C10" s="1" t="s">
        <v>231</v>
      </c>
      <c r="D10" s="5" t="s">
        <v>105</v>
      </c>
      <c r="E10" s="3" t="s">
        <v>391</v>
      </c>
      <c r="F10" s="5" t="s">
        <v>170</v>
      </c>
      <c r="G10" s="3"/>
      <c r="H10" s="3" t="s">
        <v>392</v>
      </c>
      <c r="I10" s="24" t="s">
        <v>484</v>
      </c>
      <c r="J10" s="3" t="s">
        <v>565</v>
      </c>
      <c r="K10" s="9">
        <v>36658</v>
      </c>
      <c r="L10" s="32">
        <v>45027</v>
      </c>
      <c r="M10" s="35">
        <v>46123</v>
      </c>
      <c r="N10" s="3" t="s">
        <v>1082</v>
      </c>
      <c r="O10" s="3" t="s">
        <v>1099</v>
      </c>
      <c r="P10" s="3"/>
      <c r="Q10" s="39">
        <v>26948</v>
      </c>
      <c r="R10" s="39">
        <f t="shared" si="0"/>
        <v>885.96164383561643</v>
      </c>
      <c r="S10" s="39">
        <f t="shared" si="1"/>
        <v>110.74520547945205</v>
      </c>
      <c r="T10" s="3" t="s">
        <v>1106</v>
      </c>
      <c r="U10" s="1" t="s">
        <v>1108</v>
      </c>
      <c r="V10" s="1" t="s">
        <v>1135</v>
      </c>
      <c r="W10" s="1" t="s">
        <v>1217</v>
      </c>
      <c r="X10" s="1"/>
      <c r="Y10" s="3" t="s">
        <v>1307</v>
      </c>
      <c r="Z10" s="3"/>
      <c r="AA10" s="3"/>
      <c r="AB10" s="1" t="s">
        <v>1315</v>
      </c>
      <c r="AC10" s="41"/>
      <c r="AD10" s="41"/>
      <c r="AE10" s="3"/>
      <c r="AF10" s="3" t="s">
        <v>1396</v>
      </c>
      <c r="AG10" s="3" t="s">
        <v>1400</v>
      </c>
      <c r="AH10" s="3" t="s">
        <v>1402</v>
      </c>
      <c r="AI10" s="3">
        <v>365</v>
      </c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</row>
    <row r="11" spans="1:112" x14ac:dyDescent="0.25">
      <c r="A11" s="3">
        <v>166</v>
      </c>
      <c r="B11" s="8" t="s">
        <v>458</v>
      </c>
      <c r="C11" s="1"/>
      <c r="D11" s="5" t="s">
        <v>243</v>
      </c>
      <c r="E11" s="3" t="s">
        <v>244</v>
      </c>
      <c r="F11" s="5" t="s">
        <v>245</v>
      </c>
      <c r="G11" s="3"/>
      <c r="H11" s="3" t="s">
        <v>336</v>
      </c>
      <c r="I11" s="24" t="s">
        <v>485</v>
      </c>
      <c r="J11" s="3" t="s">
        <v>576</v>
      </c>
      <c r="K11" s="9">
        <v>34767</v>
      </c>
      <c r="L11" s="10">
        <v>46153</v>
      </c>
      <c r="M11" s="36"/>
      <c r="N11" s="3" t="s">
        <v>1082</v>
      </c>
      <c r="O11" s="3" t="s">
        <v>1085</v>
      </c>
      <c r="P11" s="3"/>
      <c r="Q11" s="39">
        <v>20457</v>
      </c>
      <c r="R11" s="39">
        <f t="shared" si="0"/>
        <v>672.55890410958909</v>
      </c>
      <c r="S11" s="39">
        <f t="shared" si="1"/>
        <v>84.069863013698637</v>
      </c>
      <c r="T11" s="3" t="s">
        <v>1105</v>
      </c>
      <c r="U11" s="1">
        <v>3456073617</v>
      </c>
      <c r="V11" s="1" t="s">
        <v>1136</v>
      </c>
      <c r="W11" s="1" t="s">
        <v>1218</v>
      </c>
      <c r="X11" s="1">
        <v>328590593</v>
      </c>
      <c r="Y11" s="3" t="s">
        <v>1307</v>
      </c>
      <c r="Z11" s="3"/>
      <c r="AA11" s="3"/>
      <c r="AB11" s="1" t="s">
        <v>1316</v>
      </c>
      <c r="AC11" s="41"/>
      <c r="AD11" s="41"/>
      <c r="AE11" s="3"/>
      <c r="AF11" s="3" t="s">
        <v>1397</v>
      </c>
      <c r="AG11" s="3" t="s">
        <v>1401</v>
      </c>
      <c r="AH11" s="3" t="s">
        <v>1402</v>
      </c>
      <c r="AI11" s="3">
        <v>365</v>
      </c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</row>
    <row r="12" spans="1:112" x14ac:dyDescent="0.25">
      <c r="A12" s="3">
        <v>59</v>
      </c>
      <c r="B12" s="8" t="s">
        <v>41</v>
      </c>
      <c r="C12" s="1" t="s">
        <v>231</v>
      </c>
      <c r="D12" s="5" t="s">
        <v>106</v>
      </c>
      <c r="E12" s="3" t="s">
        <v>246</v>
      </c>
      <c r="F12" s="5" t="s">
        <v>171</v>
      </c>
      <c r="G12" s="3"/>
      <c r="H12" s="3" t="s">
        <v>337</v>
      </c>
      <c r="I12" s="24" t="s">
        <v>486</v>
      </c>
      <c r="J12" s="3" t="s">
        <v>574</v>
      </c>
      <c r="K12" s="9">
        <v>36473</v>
      </c>
      <c r="L12" s="10">
        <v>45882</v>
      </c>
      <c r="M12" s="36"/>
      <c r="N12" s="3" t="s">
        <v>1082</v>
      </c>
      <c r="O12" s="3" t="s">
        <v>1092</v>
      </c>
      <c r="P12" s="3"/>
      <c r="Q12" s="39">
        <v>21157</v>
      </c>
      <c r="R12" s="39">
        <f t="shared" si="0"/>
        <v>695.57260273972599</v>
      </c>
      <c r="S12" s="39">
        <f t="shared" si="1"/>
        <v>86.946575342465749</v>
      </c>
      <c r="T12" s="3" t="s">
        <v>1106</v>
      </c>
      <c r="U12" s="1">
        <v>3508674443</v>
      </c>
      <c r="V12" s="1" t="s">
        <v>1137</v>
      </c>
      <c r="W12" s="1" t="s">
        <v>1219</v>
      </c>
      <c r="X12" s="1">
        <v>615546140</v>
      </c>
      <c r="Y12" s="3" t="s">
        <v>1307</v>
      </c>
      <c r="Z12" s="3"/>
      <c r="AA12" s="3"/>
      <c r="AB12" s="1" t="s">
        <v>1317</v>
      </c>
      <c r="AC12" s="41"/>
      <c r="AD12" s="41"/>
      <c r="AE12" s="3"/>
      <c r="AF12" s="3" t="s">
        <v>1397</v>
      </c>
      <c r="AG12" s="3" t="s">
        <v>1401</v>
      </c>
      <c r="AH12" s="3" t="s">
        <v>1402</v>
      </c>
      <c r="AI12" s="3">
        <v>365</v>
      </c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</row>
    <row r="13" spans="1:112" x14ac:dyDescent="0.25">
      <c r="A13" s="3">
        <v>120</v>
      </c>
      <c r="B13" s="8" t="s">
        <v>42</v>
      </c>
      <c r="C13" s="1" t="s">
        <v>231</v>
      </c>
      <c r="D13" s="5" t="s">
        <v>107</v>
      </c>
      <c r="E13" s="3" t="s">
        <v>247</v>
      </c>
      <c r="F13" s="5" t="s">
        <v>172</v>
      </c>
      <c r="G13" s="3"/>
      <c r="H13" s="3" t="s">
        <v>338</v>
      </c>
      <c r="I13" s="24" t="s">
        <v>487</v>
      </c>
      <c r="J13" s="3" t="s">
        <v>561</v>
      </c>
      <c r="K13" s="9">
        <v>34991</v>
      </c>
      <c r="L13" s="32">
        <v>44970</v>
      </c>
      <c r="M13" s="35">
        <v>46066</v>
      </c>
      <c r="N13" s="3" t="s">
        <v>1082</v>
      </c>
      <c r="O13" s="3" t="s">
        <v>1095</v>
      </c>
      <c r="P13" s="3"/>
      <c r="Q13" s="39">
        <v>27166</v>
      </c>
      <c r="R13" s="39">
        <f t="shared" si="0"/>
        <v>893.12876712328762</v>
      </c>
      <c r="S13" s="39">
        <f t="shared" si="1"/>
        <v>111.64109589041095</v>
      </c>
      <c r="T13" s="3" t="s">
        <v>1105</v>
      </c>
      <c r="U13" s="1"/>
      <c r="V13" s="1" t="s">
        <v>1138</v>
      </c>
      <c r="W13" s="1" t="s">
        <v>1220</v>
      </c>
      <c r="X13" s="1">
        <v>456860087</v>
      </c>
      <c r="Y13" s="3" t="s">
        <v>1307</v>
      </c>
      <c r="Z13" s="3"/>
      <c r="AA13" s="3"/>
      <c r="AB13" s="1" t="s">
        <v>1318</v>
      </c>
      <c r="AC13" s="41"/>
      <c r="AD13" s="41"/>
      <c r="AE13" s="3"/>
      <c r="AF13" s="3" t="s">
        <v>1396</v>
      </c>
      <c r="AG13" s="3" t="s">
        <v>1400</v>
      </c>
      <c r="AH13" s="3" t="s">
        <v>1402</v>
      </c>
      <c r="AI13" s="3">
        <v>365</v>
      </c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</row>
    <row r="14" spans="1:112" x14ac:dyDescent="0.25">
      <c r="A14" s="3">
        <v>6</v>
      </c>
      <c r="B14" s="8" t="s">
        <v>43</v>
      </c>
      <c r="C14" s="1" t="s">
        <v>231</v>
      </c>
      <c r="D14" s="5" t="s">
        <v>108</v>
      </c>
      <c r="E14" s="3" t="s">
        <v>203</v>
      </c>
      <c r="F14" s="5" t="s">
        <v>173</v>
      </c>
      <c r="G14" s="3"/>
      <c r="H14" s="3" t="s">
        <v>339</v>
      </c>
      <c r="I14" s="24" t="s">
        <v>488</v>
      </c>
      <c r="J14" s="3" t="s">
        <v>556</v>
      </c>
      <c r="K14" s="9">
        <v>36691</v>
      </c>
      <c r="L14" s="10">
        <v>45833</v>
      </c>
      <c r="M14" s="36"/>
      <c r="N14" s="3" t="s">
        <v>1082</v>
      </c>
      <c r="O14" s="3" t="s">
        <v>1104</v>
      </c>
      <c r="P14" s="3"/>
      <c r="Q14" s="39">
        <v>21007</v>
      </c>
      <c r="R14" s="39">
        <f t="shared" si="0"/>
        <v>690.64109589041095</v>
      </c>
      <c r="S14" s="39">
        <f t="shared" si="1"/>
        <v>86.330136986301369</v>
      </c>
      <c r="T14" s="3" t="s">
        <v>1106</v>
      </c>
      <c r="U14" s="1">
        <v>3469916062</v>
      </c>
      <c r="V14" s="1" t="s">
        <v>1139</v>
      </c>
      <c r="W14" s="1" t="s">
        <v>1221</v>
      </c>
      <c r="X14" s="1">
        <v>625160711</v>
      </c>
      <c r="Y14" s="3" t="s">
        <v>1307</v>
      </c>
      <c r="Z14" s="3"/>
      <c r="AA14" s="3"/>
      <c r="AB14" s="1" t="s">
        <v>1319</v>
      </c>
      <c r="AC14" s="41"/>
      <c r="AD14" s="41"/>
      <c r="AE14" s="3"/>
      <c r="AF14" s="3" t="s">
        <v>1397</v>
      </c>
      <c r="AG14" s="3" t="s">
        <v>1401</v>
      </c>
      <c r="AH14" s="3" t="s">
        <v>1402</v>
      </c>
      <c r="AI14" s="3">
        <v>365</v>
      </c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</row>
    <row r="15" spans="1:112" x14ac:dyDescent="0.25">
      <c r="A15" s="3">
        <v>165</v>
      </c>
      <c r="B15" s="8" t="s">
        <v>459</v>
      </c>
      <c r="C15" s="1"/>
      <c r="D15" s="5" t="s">
        <v>249</v>
      </c>
      <c r="E15" s="3" t="s">
        <v>250</v>
      </c>
      <c r="F15" s="5" t="s">
        <v>251</v>
      </c>
      <c r="G15" s="3"/>
      <c r="H15" s="3" t="s">
        <v>341</v>
      </c>
      <c r="I15" s="24" t="s">
        <v>489</v>
      </c>
      <c r="J15" s="3" t="s">
        <v>562</v>
      </c>
      <c r="K15" s="11">
        <v>28557</v>
      </c>
      <c r="L15" s="10">
        <v>46204</v>
      </c>
      <c r="M15" s="36"/>
      <c r="N15" s="3" t="s">
        <v>1082</v>
      </c>
      <c r="O15" s="3" t="s">
        <v>1104</v>
      </c>
      <c r="P15" s="3"/>
      <c r="Q15" s="39">
        <v>20007</v>
      </c>
      <c r="R15" s="39">
        <f t="shared" si="0"/>
        <v>657.76438356164385</v>
      </c>
      <c r="S15" s="39">
        <f t="shared" si="1"/>
        <v>82.220547945205482</v>
      </c>
      <c r="T15" s="3" t="s">
        <v>1106</v>
      </c>
      <c r="U15" s="1">
        <v>3321029945</v>
      </c>
      <c r="V15" s="1"/>
      <c r="W15" s="1" t="s">
        <v>1222</v>
      </c>
      <c r="X15" s="1">
        <v>177860361</v>
      </c>
      <c r="Y15" s="3" t="s">
        <v>1307</v>
      </c>
      <c r="Z15" s="3"/>
      <c r="AA15" s="3"/>
      <c r="AB15" s="1" t="s">
        <v>1320</v>
      </c>
      <c r="AC15" s="41"/>
      <c r="AD15" s="41"/>
      <c r="AE15" s="3"/>
      <c r="AF15" s="3" t="s">
        <v>1397</v>
      </c>
      <c r="AG15" s="3" t="s">
        <v>1401</v>
      </c>
      <c r="AH15" s="3" t="s">
        <v>1403</v>
      </c>
      <c r="AI15" s="3">
        <v>365</v>
      </c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</row>
    <row r="16" spans="1:112" x14ac:dyDescent="0.25">
      <c r="A16" s="3">
        <v>49</v>
      </c>
      <c r="B16" s="4" t="s">
        <v>44</v>
      </c>
      <c r="C16" s="1" t="s">
        <v>231</v>
      </c>
      <c r="D16" s="5" t="s">
        <v>109</v>
      </c>
      <c r="E16" s="3" t="s">
        <v>248</v>
      </c>
      <c r="F16" s="5" t="s">
        <v>174</v>
      </c>
      <c r="G16" s="3"/>
      <c r="H16" s="3" t="s">
        <v>340</v>
      </c>
      <c r="I16" s="24" t="s">
        <v>490</v>
      </c>
      <c r="J16" s="3" t="s">
        <v>563</v>
      </c>
      <c r="K16" s="11">
        <v>31396</v>
      </c>
      <c r="L16" s="32">
        <v>42104</v>
      </c>
      <c r="M16" s="35">
        <v>43191</v>
      </c>
      <c r="N16" s="3" t="s">
        <v>1082</v>
      </c>
      <c r="O16" s="3" t="s">
        <v>1086</v>
      </c>
      <c r="P16" s="3"/>
      <c r="Q16" s="39">
        <v>35033</v>
      </c>
      <c r="R16" s="39">
        <f t="shared" si="0"/>
        <v>1151.7698630136986</v>
      </c>
      <c r="S16" s="39">
        <f t="shared" si="1"/>
        <v>143.97123287671232</v>
      </c>
      <c r="T16" s="3" t="s">
        <v>1105</v>
      </c>
      <c r="U16" s="1">
        <v>3380049911</v>
      </c>
      <c r="V16" s="1" t="s">
        <v>1140</v>
      </c>
      <c r="W16" s="1" t="s">
        <v>1223</v>
      </c>
      <c r="X16" s="1" t="s">
        <v>1294</v>
      </c>
      <c r="Y16" s="3" t="s">
        <v>1307</v>
      </c>
      <c r="Z16" s="3"/>
      <c r="AA16" s="3"/>
      <c r="AB16" s="1" t="s">
        <v>1321</v>
      </c>
      <c r="AC16" s="41"/>
      <c r="AD16" s="41"/>
      <c r="AE16" s="3"/>
      <c r="AF16" s="3" t="s">
        <v>1396</v>
      </c>
      <c r="AG16" s="3" t="s">
        <v>1400</v>
      </c>
      <c r="AH16" s="3" t="s">
        <v>1402</v>
      </c>
      <c r="AI16" s="3">
        <v>365</v>
      </c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</row>
    <row r="17" spans="1:112" x14ac:dyDescent="0.25">
      <c r="A17" s="3">
        <v>172</v>
      </c>
      <c r="B17" s="8" t="s">
        <v>45</v>
      </c>
      <c r="C17" s="1" t="s">
        <v>231</v>
      </c>
      <c r="D17" s="5" t="s">
        <v>110</v>
      </c>
      <c r="E17" s="3" t="s">
        <v>252</v>
      </c>
      <c r="F17" s="5" t="s">
        <v>175</v>
      </c>
      <c r="G17" s="3"/>
      <c r="H17" s="3" t="s">
        <v>342</v>
      </c>
      <c r="I17" s="24" t="s">
        <v>488</v>
      </c>
      <c r="J17" s="3" t="s">
        <v>556</v>
      </c>
      <c r="K17" s="9">
        <v>36878</v>
      </c>
      <c r="L17" s="10">
        <v>45215</v>
      </c>
      <c r="M17" s="36"/>
      <c r="N17" s="3" t="s">
        <v>1084</v>
      </c>
      <c r="O17" s="3" t="s">
        <v>1084</v>
      </c>
      <c r="P17" s="3"/>
      <c r="Q17" s="39">
        <v>22900</v>
      </c>
      <c r="R17" s="39">
        <f t="shared" si="0"/>
        <v>752.8767123287671</v>
      </c>
      <c r="S17" s="39">
        <f t="shared" si="1"/>
        <v>94.109589041095887</v>
      </c>
      <c r="T17" s="3" t="s">
        <v>1106</v>
      </c>
      <c r="U17" s="1">
        <v>3470070573</v>
      </c>
      <c r="V17" s="1" t="s">
        <v>1141</v>
      </c>
      <c r="W17" s="1" t="s">
        <v>1224</v>
      </c>
      <c r="X17" s="1">
        <v>637010724</v>
      </c>
      <c r="Y17" s="3" t="s">
        <v>1307</v>
      </c>
      <c r="Z17" s="3"/>
      <c r="AA17" s="3"/>
      <c r="AB17" s="1" t="s">
        <v>1322</v>
      </c>
      <c r="AC17" s="41"/>
      <c r="AD17" s="41"/>
      <c r="AE17" s="3"/>
      <c r="AF17" s="3" t="s">
        <v>1397</v>
      </c>
      <c r="AG17" s="3" t="s">
        <v>1401</v>
      </c>
      <c r="AH17" s="3"/>
      <c r="AI17" s="3">
        <v>365</v>
      </c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</row>
    <row r="18" spans="1:112" x14ac:dyDescent="0.25">
      <c r="A18" s="3">
        <v>123</v>
      </c>
      <c r="B18" s="8" t="s">
        <v>46</v>
      </c>
      <c r="C18" s="1" t="s">
        <v>231</v>
      </c>
      <c r="D18" s="5" t="s">
        <v>111</v>
      </c>
      <c r="E18" s="3" t="s">
        <v>253</v>
      </c>
      <c r="F18" s="5" t="s">
        <v>176</v>
      </c>
      <c r="G18" s="3"/>
      <c r="H18" s="3" t="s">
        <v>343</v>
      </c>
      <c r="I18" s="24" t="s">
        <v>488</v>
      </c>
      <c r="J18" s="3" t="s">
        <v>556</v>
      </c>
      <c r="K18" s="9">
        <v>36662</v>
      </c>
      <c r="L18" s="32">
        <v>45027</v>
      </c>
      <c r="M18" s="35">
        <v>46123</v>
      </c>
      <c r="N18" s="3" t="s">
        <v>1082</v>
      </c>
      <c r="O18" s="3" t="s">
        <v>1085</v>
      </c>
      <c r="P18" s="3"/>
      <c r="Q18" s="39">
        <v>27650</v>
      </c>
      <c r="R18" s="39">
        <f t="shared" si="0"/>
        <v>909.04109589041093</v>
      </c>
      <c r="S18" s="39">
        <f t="shared" si="1"/>
        <v>113.63013698630137</v>
      </c>
      <c r="T18" s="3" t="s">
        <v>1106</v>
      </c>
      <c r="U18" s="1" t="s">
        <v>1109</v>
      </c>
      <c r="V18" s="1" t="s">
        <v>1142</v>
      </c>
      <c r="W18" s="1"/>
      <c r="X18" s="1">
        <v>607564622</v>
      </c>
      <c r="Y18" s="3" t="s">
        <v>1307</v>
      </c>
      <c r="Z18" s="3"/>
      <c r="AA18" s="3"/>
      <c r="AB18" s="1" t="s">
        <v>1323</v>
      </c>
      <c r="AC18" s="41"/>
      <c r="AD18" s="41"/>
      <c r="AE18" s="3"/>
      <c r="AF18" s="3" t="s">
        <v>1396</v>
      </c>
      <c r="AG18" s="3" t="s">
        <v>1400</v>
      </c>
      <c r="AH18" s="3" t="s">
        <v>1402</v>
      </c>
      <c r="AI18" s="3">
        <v>365</v>
      </c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</row>
    <row r="19" spans="1:112" x14ac:dyDescent="0.25">
      <c r="A19" s="3">
        <v>41</v>
      </c>
      <c r="B19" s="4" t="s">
        <v>47</v>
      </c>
      <c r="C19" s="1" t="s">
        <v>231</v>
      </c>
      <c r="D19" s="5" t="s">
        <v>112</v>
      </c>
      <c r="E19" s="3" t="s">
        <v>254</v>
      </c>
      <c r="F19" s="5" t="s">
        <v>177</v>
      </c>
      <c r="G19" s="3"/>
      <c r="H19" s="3" t="s">
        <v>344</v>
      </c>
      <c r="I19" s="24" t="s">
        <v>491</v>
      </c>
      <c r="J19" s="3" t="s">
        <v>564</v>
      </c>
      <c r="K19" s="11">
        <v>36178</v>
      </c>
      <c r="L19" s="32">
        <v>44671</v>
      </c>
      <c r="M19" s="35">
        <v>37500</v>
      </c>
      <c r="N19" s="3" t="s">
        <v>1082</v>
      </c>
      <c r="O19" s="3" t="s">
        <v>1095</v>
      </c>
      <c r="P19" s="3"/>
      <c r="Q19" s="39">
        <v>29417</v>
      </c>
      <c r="R19" s="39">
        <f t="shared" si="0"/>
        <v>967.13424657534244</v>
      </c>
      <c r="S19" s="39">
        <f t="shared" si="1"/>
        <v>120.89178082191781</v>
      </c>
      <c r="T19" s="3" t="s">
        <v>1105</v>
      </c>
      <c r="U19" s="1">
        <v>3483335357</v>
      </c>
      <c r="V19" s="1" t="s">
        <v>1143</v>
      </c>
      <c r="W19" s="1" t="s">
        <v>1225</v>
      </c>
      <c r="X19" s="1">
        <v>743570122</v>
      </c>
      <c r="Y19" s="3" t="s">
        <v>1307</v>
      </c>
      <c r="Z19" s="3"/>
      <c r="AA19" s="3"/>
      <c r="AB19" s="1" t="s">
        <v>1324</v>
      </c>
      <c r="AC19" s="41"/>
      <c r="AD19" s="41"/>
      <c r="AE19" s="3"/>
      <c r="AF19" s="3" t="s">
        <v>1396</v>
      </c>
      <c r="AG19" s="3" t="s">
        <v>1400</v>
      </c>
      <c r="AH19" s="3" t="s">
        <v>1402</v>
      </c>
      <c r="AI19" s="3">
        <v>365</v>
      </c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</row>
    <row r="20" spans="1:112" x14ac:dyDescent="0.25">
      <c r="A20" s="3">
        <v>201</v>
      </c>
      <c r="B20" s="4" t="s">
        <v>460</v>
      </c>
      <c r="C20" s="1"/>
      <c r="D20" s="5" t="s">
        <v>257</v>
      </c>
      <c r="E20" s="3" t="s">
        <v>256</v>
      </c>
      <c r="F20" s="5" t="s">
        <v>255</v>
      </c>
      <c r="G20" s="3"/>
      <c r="H20" s="3" t="s">
        <v>345</v>
      </c>
      <c r="I20" s="24" t="s">
        <v>492</v>
      </c>
      <c r="J20" s="3" t="s">
        <v>556</v>
      </c>
      <c r="K20" s="11">
        <v>36445</v>
      </c>
      <c r="L20" s="10">
        <v>46202</v>
      </c>
      <c r="M20" s="36"/>
      <c r="N20" s="3" t="s">
        <v>1082</v>
      </c>
      <c r="O20" s="3" t="s">
        <v>1085</v>
      </c>
      <c r="P20" s="3"/>
      <c r="Q20" s="39">
        <v>20207</v>
      </c>
      <c r="R20" s="39">
        <f t="shared" si="0"/>
        <v>664.33972602739721</v>
      </c>
      <c r="S20" s="39">
        <f t="shared" si="1"/>
        <v>83.042465753424651</v>
      </c>
      <c r="T20" s="36"/>
      <c r="U20" s="1">
        <v>3507835924</v>
      </c>
      <c r="V20" s="1" t="s">
        <v>1144</v>
      </c>
      <c r="W20" s="1" t="s">
        <v>1226</v>
      </c>
      <c r="X20" s="1">
        <v>379052972</v>
      </c>
      <c r="Y20" s="3" t="s">
        <v>1307</v>
      </c>
      <c r="Z20" s="3"/>
      <c r="AA20" s="3"/>
      <c r="AB20" s="1" t="s">
        <v>1325</v>
      </c>
      <c r="AC20" s="41"/>
      <c r="AD20" s="41"/>
      <c r="AE20" s="3"/>
      <c r="AF20" s="3" t="s">
        <v>1397</v>
      </c>
      <c r="AG20" s="3" t="s">
        <v>1401</v>
      </c>
      <c r="AH20" s="3" t="s">
        <v>1402</v>
      </c>
      <c r="AI20" s="3">
        <v>365</v>
      </c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</row>
    <row r="21" spans="1:112" x14ac:dyDescent="0.25">
      <c r="A21" s="3">
        <v>130</v>
      </c>
      <c r="B21" s="4" t="s">
        <v>454</v>
      </c>
      <c r="C21" s="1"/>
      <c r="D21" s="5" t="s">
        <v>260</v>
      </c>
      <c r="E21" s="3" t="s">
        <v>259</v>
      </c>
      <c r="F21" s="5" t="s">
        <v>258</v>
      </c>
      <c r="G21" s="3"/>
      <c r="H21" s="3" t="s">
        <v>346</v>
      </c>
      <c r="I21" s="24" t="s">
        <v>493</v>
      </c>
      <c r="J21" s="3" t="s">
        <v>493</v>
      </c>
      <c r="K21" s="11">
        <v>37918</v>
      </c>
      <c r="L21" s="10">
        <v>46216</v>
      </c>
      <c r="M21" s="36"/>
      <c r="N21" s="3" t="s">
        <v>1082</v>
      </c>
      <c r="O21" s="3" t="s">
        <v>1104</v>
      </c>
      <c r="P21" s="3"/>
      <c r="Q21" s="39">
        <v>17529</v>
      </c>
      <c r="R21" s="39">
        <f t="shared" si="0"/>
        <v>576.29589041095892</v>
      </c>
      <c r="S21" s="39">
        <f t="shared" si="1"/>
        <v>72.036986301369865</v>
      </c>
      <c r="T21" s="3" t="s">
        <v>1106</v>
      </c>
      <c r="U21" s="1"/>
      <c r="V21" s="1" t="s">
        <v>1145</v>
      </c>
      <c r="W21" s="1" t="s">
        <v>1227</v>
      </c>
      <c r="X21" s="1">
        <v>512515695</v>
      </c>
      <c r="Y21" s="3" t="s">
        <v>1307</v>
      </c>
      <c r="Z21" s="3"/>
      <c r="AA21" s="3"/>
      <c r="AB21" s="1"/>
      <c r="AC21" s="41"/>
      <c r="AD21" s="41"/>
      <c r="AE21" s="3"/>
      <c r="AF21" s="3" t="s">
        <v>1397</v>
      </c>
      <c r="AG21" s="3" t="s">
        <v>1401</v>
      </c>
      <c r="AH21" s="3" t="s">
        <v>1403</v>
      </c>
      <c r="AI21" s="3">
        <v>365</v>
      </c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</row>
    <row r="22" spans="1:112" x14ac:dyDescent="0.25">
      <c r="A22" s="3">
        <v>175</v>
      </c>
      <c r="B22" s="4" t="s">
        <v>461</v>
      </c>
      <c r="C22" s="1"/>
      <c r="D22" s="5" t="s">
        <v>261</v>
      </c>
      <c r="E22" s="3" t="s">
        <v>262</v>
      </c>
      <c r="F22" s="5" t="s">
        <v>263</v>
      </c>
      <c r="G22" s="3"/>
      <c r="H22" s="3" t="s">
        <v>347</v>
      </c>
      <c r="I22" s="24" t="s">
        <v>494</v>
      </c>
      <c r="J22" s="3" t="s">
        <v>561</v>
      </c>
      <c r="K22" s="11">
        <v>37339</v>
      </c>
      <c r="L22" s="10">
        <v>46174</v>
      </c>
      <c r="M22" s="36"/>
      <c r="N22" s="3" t="s">
        <v>1082</v>
      </c>
      <c r="O22" s="3" t="s">
        <v>1099</v>
      </c>
      <c r="P22" s="3"/>
      <c r="Q22" s="39">
        <v>20007</v>
      </c>
      <c r="R22" s="39">
        <f t="shared" si="0"/>
        <v>657.76438356164385</v>
      </c>
      <c r="S22" s="39">
        <f t="shared" si="1"/>
        <v>82.220547945205482</v>
      </c>
      <c r="T22" s="3" t="s">
        <v>1106</v>
      </c>
      <c r="U22" s="1" t="s">
        <v>1110</v>
      </c>
      <c r="V22" s="1" t="s">
        <v>1146</v>
      </c>
      <c r="W22" s="1" t="s">
        <v>1228</v>
      </c>
      <c r="X22" s="1">
        <v>670677747</v>
      </c>
      <c r="Y22" s="3" t="s">
        <v>1307</v>
      </c>
      <c r="Z22" s="3"/>
      <c r="AA22" s="3"/>
      <c r="AB22" s="1" t="s">
        <v>1326</v>
      </c>
      <c r="AC22" s="41"/>
      <c r="AD22" s="41"/>
      <c r="AE22" s="3"/>
      <c r="AF22" s="3" t="s">
        <v>1397</v>
      </c>
      <c r="AG22" s="3" t="s">
        <v>1401</v>
      </c>
      <c r="AH22" s="3" t="s">
        <v>1402</v>
      </c>
      <c r="AI22" s="3">
        <v>365</v>
      </c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</row>
    <row r="23" spans="1:112" x14ac:dyDescent="0.25">
      <c r="A23" s="3">
        <v>187</v>
      </c>
      <c r="B23" s="8" t="s">
        <v>48</v>
      </c>
      <c r="C23" s="1" t="s">
        <v>231</v>
      </c>
      <c r="D23" s="5" t="s">
        <v>113</v>
      </c>
      <c r="E23" s="3" t="s">
        <v>264</v>
      </c>
      <c r="F23" s="5" t="s">
        <v>178</v>
      </c>
      <c r="G23" s="3"/>
      <c r="H23" s="3" t="s">
        <v>348</v>
      </c>
      <c r="I23" s="24" t="s">
        <v>495</v>
      </c>
      <c r="J23" s="3" t="s">
        <v>561</v>
      </c>
      <c r="K23" s="9">
        <v>37819</v>
      </c>
      <c r="L23" s="10">
        <v>45870</v>
      </c>
      <c r="M23" s="36"/>
      <c r="N23" s="3" t="s">
        <v>1082</v>
      </c>
      <c r="O23" s="3" t="s">
        <v>1099</v>
      </c>
      <c r="P23" s="3"/>
      <c r="Q23" s="39">
        <v>21007</v>
      </c>
      <c r="R23" s="39">
        <f t="shared" si="0"/>
        <v>690.64109589041095</v>
      </c>
      <c r="S23" s="39">
        <f t="shared" si="1"/>
        <v>86.330136986301369</v>
      </c>
      <c r="T23" s="3" t="s">
        <v>1106</v>
      </c>
      <c r="U23" s="1" t="s">
        <v>1111</v>
      </c>
      <c r="V23" s="1" t="s">
        <v>1147</v>
      </c>
      <c r="W23" s="1"/>
      <c r="X23" s="1"/>
      <c r="Y23" s="3" t="s">
        <v>1307</v>
      </c>
      <c r="Z23" s="3"/>
      <c r="AA23" s="3"/>
      <c r="AB23" s="1" t="s">
        <v>1327</v>
      </c>
      <c r="AC23" s="41"/>
      <c r="AD23" s="41"/>
      <c r="AE23" s="3"/>
      <c r="AF23" s="3" t="s">
        <v>1397</v>
      </c>
      <c r="AG23" s="3" t="s">
        <v>1401</v>
      </c>
      <c r="AH23" s="3" t="s">
        <v>1402</v>
      </c>
      <c r="AI23" s="3">
        <v>365</v>
      </c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</row>
    <row r="24" spans="1:112" x14ac:dyDescent="0.25">
      <c r="A24" s="3">
        <v>135</v>
      </c>
      <c r="B24" s="8" t="s">
        <v>49</v>
      </c>
      <c r="C24" s="1" t="s">
        <v>231</v>
      </c>
      <c r="D24" s="5" t="s">
        <v>114</v>
      </c>
      <c r="E24" s="3" t="s">
        <v>265</v>
      </c>
      <c r="F24" s="5" t="s">
        <v>179</v>
      </c>
      <c r="G24" s="3"/>
      <c r="H24" s="3" t="s">
        <v>349</v>
      </c>
      <c r="I24" s="24" t="s">
        <v>496</v>
      </c>
      <c r="J24" s="3" t="s">
        <v>556</v>
      </c>
      <c r="K24" s="9">
        <v>36597</v>
      </c>
      <c r="L24" s="32">
        <v>45139</v>
      </c>
      <c r="M24" s="35">
        <v>46235</v>
      </c>
      <c r="N24" s="3" t="s">
        <v>1082</v>
      </c>
      <c r="O24" s="3" t="s">
        <v>1099</v>
      </c>
      <c r="P24" s="3"/>
      <c r="Q24" s="39">
        <v>28059</v>
      </c>
      <c r="R24" s="39">
        <f t="shared" si="0"/>
        <v>922.48767123287666</v>
      </c>
      <c r="S24" s="39">
        <f t="shared" si="1"/>
        <v>115.31095890410958</v>
      </c>
      <c r="T24" s="3" t="s">
        <v>1106</v>
      </c>
      <c r="U24" s="1">
        <v>3470073664</v>
      </c>
      <c r="V24" s="1" t="s">
        <v>1148</v>
      </c>
      <c r="W24" s="1" t="s">
        <v>1229</v>
      </c>
      <c r="X24" s="1"/>
      <c r="Y24" s="3" t="s">
        <v>1307</v>
      </c>
      <c r="Z24" s="3"/>
      <c r="AA24" s="3"/>
      <c r="AB24" s="1" t="s">
        <v>1328</v>
      </c>
      <c r="AC24" s="41"/>
      <c r="AD24" s="41"/>
      <c r="AE24" s="3"/>
      <c r="AF24" s="3" t="s">
        <v>1396</v>
      </c>
      <c r="AG24" s="3" t="s">
        <v>1400</v>
      </c>
      <c r="AH24" s="3" t="s">
        <v>1402</v>
      </c>
      <c r="AI24" s="3">
        <v>365</v>
      </c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</row>
    <row r="25" spans="1:112" x14ac:dyDescent="0.25">
      <c r="A25" s="3">
        <v>81</v>
      </c>
      <c r="B25" s="4" t="s">
        <v>50</v>
      </c>
      <c r="C25" s="1" t="s">
        <v>231</v>
      </c>
      <c r="D25" s="5" t="s">
        <v>115</v>
      </c>
      <c r="E25" s="3" t="s">
        <v>266</v>
      </c>
      <c r="F25" s="5" t="s">
        <v>180</v>
      </c>
      <c r="G25" s="3"/>
      <c r="H25" s="3" t="s">
        <v>350</v>
      </c>
      <c r="I25" s="25" t="s">
        <v>497</v>
      </c>
      <c r="J25" s="3" t="s">
        <v>564</v>
      </c>
      <c r="K25" s="11">
        <v>36585</v>
      </c>
      <c r="L25" s="10">
        <v>45474</v>
      </c>
      <c r="M25" s="36"/>
      <c r="N25" s="3" t="s">
        <v>1082</v>
      </c>
      <c r="O25" s="3" t="s">
        <v>1104</v>
      </c>
      <c r="P25" s="3"/>
      <c r="Q25" s="39">
        <v>22722</v>
      </c>
      <c r="R25" s="39">
        <f t="shared" si="0"/>
        <v>747.02465753424656</v>
      </c>
      <c r="S25" s="39">
        <f t="shared" si="1"/>
        <v>93.37808219178082</v>
      </c>
      <c r="T25" s="3" t="s">
        <v>1106</v>
      </c>
      <c r="U25" s="1">
        <v>3469969129</v>
      </c>
      <c r="V25" s="1" t="s">
        <v>1149</v>
      </c>
      <c r="W25" s="1" t="s">
        <v>1230</v>
      </c>
      <c r="X25" s="1"/>
      <c r="Y25" s="3" t="s">
        <v>1307</v>
      </c>
      <c r="Z25" s="3"/>
      <c r="AA25" s="3"/>
      <c r="AB25" s="1" t="s">
        <v>1329</v>
      </c>
      <c r="AC25" s="41"/>
      <c r="AD25" s="41"/>
      <c r="AE25" s="3"/>
      <c r="AF25" s="3" t="s">
        <v>1397</v>
      </c>
      <c r="AG25" s="3" t="s">
        <v>1401</v>
      </c>
      <c r="AH25" s="3" t="s">
        <v>1402</v>
      </c>
      <c r="AI25" s="3">
        <v>365</v>
      </c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</row>
    <row r="26" spans="1:112" x14ac:dyDescent="0.25">
      <c r="A26" s="3">
        <v>133</v>
      </c>
      <c r="B26" s="8" t="s">
        <v>51</v>
      </c>
      <c r="C26" s="1" t="s">
        <v>231</v>
      </c>
      <c r="D26" s="5" t="s">
        <v>116</v>
      </c>
      <c r="E26" s="3" t="s">
        <v>267</v>
      </c>
      <c r="F26" s="5" t="s">
        <v>181</v>
      </c>
      <c r="G26" s="3"/>
      <c r="H26" s="3" t="s">
        <v>351</v>
      </c>
      <c r="I26" s="25" t="s">
        <v>498</v>
      </c>
      <c r="J26" s="3" t="s">
        <v>556</v>
      </c>
      <c r="K26" s="9">
        <v>37091</v>
      </c>
      <c r="L26" s="32">
        <v>45139</v>
      </c>
      <c r="M26" s="35">
        <v>46235</v>
      </c>
      <c r="N26" s="3" t="s">
        <v>1082</v>
      </c>
      <c r="O26" s="3" t="s">
        <v>1097</v>
      </c>
      <c r="P26" s="3"/>
      <c r="Q26" s="39">
        <v>27166</v>
      </c>
      <c r="R26" s="39">
        <f t="shared" si="0"/>
        <v>893.12876712328762</v>
      </c>
      <c r="S26" s="39">
        <f t="shared" si="1"/>
        <v>111.64109589041095</v>
      </c>
      <c r="T26" s="3" t="s">
        <v>1106</v>
      </c>
      <c r="U26" s="1">
        <v>3526754730</v>
      </c>
      <c r="V26" s="1" t="s">
        <v>1150</v>
      </c>
      <c r="W26" s="1" t="s">
        <v>1231</v>
      </c>
      <c r="X26" s="1">
        <v>631334900</v>
      </c>
      <c r="Y26" s="3" t="s">
        <v>1307</v>
      </c>
      <c r="Z26" s="3"/>
      <c r="AA26" s="3"/>
      <c r="AB26" s="1" t="s">
        <v>1330</v>
      </c>
      <c r="AC26" s="41"/>
      <c r="AD26" s="41"/>
      <c r="AE26" s="3"/>
      <c r="AF26" s="3" t="s">
        <v>1396</v>
      </c>
      <c r="AG26" s="3" t="s">
        <v>1400</v>
      </c>
      <c r="AH26" s="3" t="s">
        <v>1402</v>
      </c>
      <c r="AI26" s="3">
        <v>365</v>
      </c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</row>
    <row r="27" spans="1:112" x14ac:dyDescent="0.25">
      <c r="A27" s="3">
        <v>182</v>
      </c>
      <c r="B27" s="8" t="s">
        <v>462</v>
      </c>
      <c r="C27" s="1"/>
      <c r="D27" s="5" t="s">
        <v>269</v>
      </c>
      <c r="E27" s="3" t="s">
        <v>270</v>
      </c>
      <c r="F27" s="5" t="s">
        <v>271</v>
      </c>
      <c r="G27" s="3"/>
      <c r="H27" s="3" t="s">
        <v>352</v>
      </c>
      <c r="I27" s="25" t="s">
        <v>499</v>
      </c>
      <c r="J27" s="3" t="s">
        <v>566</v>
      </c>
      <c r="K27" s="9">
        <v>37499</v>
      </c>
      <c r="L27" s="10">
        <v>46174</v>
      </c>
      <c r="M27" s="36"/>
      <c r="N27" s="3" t="s">
        <v>1082</v>
      </c>
      <c r="O27" s="3" t="s">
        <v>1095</v>
      </c>
      <c r="P27" s="3"/>
      <c r="Q27" s="39">
        <v>20007</v>
      </c>
      <c r="R27" s="39">
        <f t="shared" si="0"/>
        <v>657.76438356164385</v>
      </c>
      <c r="S27" s="39">
        <f t="shared" si="1"/>
        <v>82.220547945205482</v>
      </c>
      <c r="T27" s="3" t="s">
        <v>1106</v>
      </c>
      <c r="U27" s="1" t="s">
        <v>1112</v>
      </c>
      <c r="V27" s="1" t="s">
        <v>1151</v>
      </c>
      <c r="W27" s="1" t="s">
        <v>1232</v>
      </c>
      <c r="X27" s="1">
        <v>653470910</v>
      </c>
      <c r="Y27" s="3" t="s">
        <v>1307</v>
      </c>
      <c r="Z27" s="3"/>
      <c r="AA27" s="3"/>
      <c r="AB27" s="1" t="s">
        <v>1331</v>
      </c>
      <c r="AC27" s="41"/>
      <c r="AD27" s="41"/>
      <c r="AE27" s="3"/>
      <c r="AF27" s="3" t="s">
        <v>1397</v>
      </c>
      <c r="AG27" s="3" t="s">
        <v>1401</v>
      </c>
      <c r="AH27" s="3" t="s">
        <v>1402</v>
      </c>
      <c r="AI27" s="3">
        <v>365</v>
      </c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</row>
    <row r="28" spans="1:112" x14ac:dyDescent="0.25">
      <c r="A28" s="3">
        <v>163</v>
      </c>
      <c r="B28" s="8" t="s">
        <v>463</v>
      </c>
      <c r="C28" s="1"/>
      <c r="D28" s="5" t="s">
        <v>272</v>
      </c>
      <c r="E28" s="3"/>
      <c r="F28" s="5" t="s">
        <v>273</v>
      </c>
      <c r="G28" s="3"/>
      <c r="H28" s="3" t="s">
        <v>353</v>
      </c>
      <c r="I28" s="25" t="s">
        <v>500</v>
      </c>
      <c r="J28" s="3" t="s">
        <v>561</v>
      </c>
      <c r="K28" s="9">
        <v>37323</v>
      </c>
      <c r="L28" s="10">
        <v>46170</v>
      </c>
      <c r="M28" s="36"/>
      <c r="N28" s="3" t="s">
        <v>1082</v>
      </c>
      <c r="O28" s="3" t="s">
        <v>1085</v>
      </c>
      <c r="P28" s="3"/>
      <c r="Q28" s="39">
        <v>20057</v>
      </c>
      <c r="R28" s="39">
        <f t="shared" si="0"/>
        <v>659.40821917808216</v>
      </c>
      <c r="S28" s="39">
        <f t="shared" si="1"/>
        <v>82.42602739726027</v>
      </c>
      <c r="T28" s="36"/>
      <c r="U28" s="1">
        <v>3508370734</v>
      </c>
      <c r="V28" s="1" t="s">
        <v>1152</v>
      </c>
      <c r="W28" s="1" t="s">
        <v>1233</v>
      </c>
      <c r="X28" s="1">
        <v>655007188</v>
      </c>
      <c r="Y28" s="3" t="s">
        <v>1307</v>
      </c>
      <c r="Z28" s="3"/>
      <c r="AA28" s="3"/>
      <c r="AB28" s="1" t="s">
        <v>1332</v>
      </c>
      <c r="AC28" s="41"/>
      <c r="AD28" s="41"/>
      <c r="AE28" s="3"/>
      <c r="AF28" s="3" t="s">
        <v>1397</v>
      </c>
      <c r="AG28" s="3" t="s">
        <v>1401</v>
      </c>
      <c r="AH28" s="3" t="s">
        <v>1402</v>
      </c>
      <c r="AI28" s="3">
        <v>365</v>
      </c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</row>
    <row r="29" spans="1:112" x14ac:dyDescent="0.25">
      <c r="A29" s="3">
        <v>57</v>
      </c>
      <c r="B29" s="4" t="s">
        <v>52</v>
      </c>
      <c r="C29" s="1" t="s">
        <v>231</v>
      </c>
      <c r="D29" s="5" t="s">
        <v>117</v>
      </c>
      <c r="E29" s="3" t="s">
        <v>268</v>
      </c>
      <c r="F29" s="5" t="s">
        <v>182</v>
      </c>
      <c r="G29" s="3"/>
      <c r="H29" s="3" t="s">
        <v>354</v>
      </c>
      <c r="I29" s="25" t="s">
        <v>488</v>
      </c>
      <c r="J29" s="3" t="s">
        <v>556</v>
      </c>
      <c r="K29" s="11">
        <v>35980</v>
      </c>
      <c r="L29" s="32">
        <v>44409</v>
      </c>
      <c r="M29" s="35">
        <v>45505</v>
      </c>
      <c r="N29" s="3" t="s">
        <v>1082</v>
      </c>
      <c r="O29" s="3" t="s">
        <v>1088</v>
      </c>
      <c r="P29" s="3"/>
      <c r="Q29" s="39">
        <v>28268</v>
      </c>
      <c r="R29" s="39">
        <f t="shared" si="0"/>
        <v>929.35890410958905</v>
      </c>
      <c r="S29" s="39">
        <f t="shared" si="1"/>
        <v>116.16986301369863</v>
      </c>
      <c r="T29" s="3" t="s">
        <v>1106</v>
      </c>
      <c r="U29" s="1">
        <v>3464546725</v>
      </c>
      <c r="V29" s="1" t="s">
        <v>1153</v>
      </c>
      <c r="W29" s="1" t="s">
        <v>1234</v>
      </c>
      <c r="X29" s="1">
        <v>510555140</v>
      </c>
      <c r="Y29" s="3" t="s">
        <v>1307</v>
      </c>
      <c r="Z29" s="3"/>
      <c r="AA29" s="3"/>
      <c r="AB29" s="1" t="s">
        <v>1333</v>
      </c>
      <c r="AC29" s="41"/>
      <c r="AD29" s="41"/>
      <c r="AE29" s="3"/>
      <c r="AF29" s="3" t="s">
        <v>1396</v>
      </c>
      <c r="AG29" s="3" t="s">
        <v>1400</v>
      </c>
      <c r="AH29" s="3" t="s">
        <v>1402</v>
      </c>
      <c r="AI29" s="3">
        <v>365</v>
      </c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</row>
    <row r="30" spans="1:112" x14ac:dyDescent="0.25">
      <c r="A30" s="3">
        <v>141</v>
      </c>
      <c r="B30" s="12" t="s">
        <v>53</v>
      </c>
      <c r="C30" s="1" t="s">
        <v>231</v>
      </c>
      <c r="D30" s="5" t="s">
        <v>118</v>
      </c>
      <c r="E30" s="3" t="s">
        <v>274</v>
      </c>
      <c r="F30" s="5" t="s">
        <v>183</v>
      </c>
      <c r="G30" s="3"/>
      <c r="H30" s="3" t="s">
        <v>355</v>
      </c>
      <c r="I30" s="25" t="s">
        <v>501</v>
      </c>
      <c r="J30" s="3" t="s">
        <v>564</v>
      </c>
      <c r="K30" s="11">
        <v>31587</v>
      </c>
      <c r="L30" s="32">
        <v>43577</v>
      </c>
      <c r="M30" s="35">
        <v>45901</v>
      </c>
      <c r="N30" s="3" t="s">
        <v>1082</v>
      </c>
      <c r="O30" s="3" t="s">
        <v>1104</v>
      </c>
      <c r="P30" s="3"/>
      <c r="Q30" s="39">
        <v>29928</v>
      </c>
      <c r="R30" s="39">
        <f t="shared" si="0"/>
        <v>983.93424657534251</v>
      </c>
      <c r="S30" s="39">
        <f t="shared" si="1"/>
        <v>122.99178082191781</v>
      </c>
      <c r="T30" s="3" t="s">
        <v>1106</v>
      </c>
      <c r="U30" s="1" t="s">
        <v>1113</v>
      </c>
      <c r="V30" s="1" t="s">
        <v>1154</v>
      </c>
      <c r="W30" s="1" t="s">
        <v>1235</v>
      </c>
      <c r="X30" s="1">
        <v>242029314</v>
      </c>
      <c r="Y30" s="3" t="s">
        <v>1307</v>
      </c>
      <c r="Z30" s="3"/>
      <c r="AA30" s="3"/>
      <c r="AB30" s="1" t="s">
        <v>1334</v>
      </c>
      <c r="AC30" s="41"/>
      <c r="AD30" s="41"/>
      <c r="AE30" s="3"/>
      <c r="AF30" s="3" t="s">
        <v>1396</v>
      </c>
      <c r="AG30" s="3" t="s">
        <v>1400</v>
      </c>
      <c r="AH30" s="3" t="s">
        <v>1402</v>
      </c>
      <c r="AI30" s="3">
        <v>365</v>
      </c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</row>
    <row r="31" spans="1:112" x14ac:dyDescent="0.25">
      <c r="A31" s="3">
        <v>193</v>
      </c>
      <c r="B31" s="12" t="s">
        <v>456</v>
      </c>
      <c r="C31" s="1"/>
      <c r="D31" s="5" t="s">
        <v>275</v>
      </c>
      <c r="E31" s="3" t="s">
        <v>276</v>
      </c>
      <c r="F31" s="5" t="s">
        <v>277</v>
      </c>
      <c r="G31" s="3"/>
      <c r="H31" s="3" t="s">
        <v>356</v>
      </c>
      <c r="I31" s="25" t="s">
        <v>502</v>
      </c>
      <c r="J31" s="3" t="s">
        <v>556</v>
      </c>
      <c r="K31" s="11">
        <v>38245</v>
      </c>
      <c r="L31" s="10">
        <v>46181</v>
      </c>
      <c r="M31" s="36"/>
      <c r="N31" s="3" t="s">
        <v>1082</v>
      </c>
      <c r="O31" s="3" t="s">
        <v>1099</v>
      </c>
      <c r="P31" s="3"/>
      <c r="Q31" s="39">
        <v>17529</v>
      </c>
      <c r="R31" s="39">
        <f t="shared" si="0"/>
        <v>576.29589041095892</v>
      </c>
      <c r="S31" s="39">
        <f t="shared" si="1"/>
        <v>72.036986301369865</v>
      </c>
      <c r="T31" s="3" t="s">
        <v>1106</v>
      </c>
      <c r="U31" s="1">
        <v>3521584471</v>
      </c>
      <c r="V31" s="1"/>
      <c r="W31" s="1" t="s">
        <v>1236</v>
      </c>
      <c r="X31" s="1">
        <v>806011169</v>
      </c>
      <c r="Y31" s="3" t="s">
        <v>1307</v>
      </c>
      <c r="Z31" s="3"/>
      <c r="AA31" s="3"/>
      <c r="AB31" s="1" t="s">
        <v>1335</v>
      </c>
      <c r="AC31" s="41"/>
      <c r="AD31" s="41"/>
      <c r="AE31" s="3"/>
      <c r="AF31" s="3" t="s">
        <v>1397</v>
      </c>
      <c r="AG31" s="3" t="s">
        <v>1401</v>
      </c>
      <c r="AH31" s="3" t="s">
        <v>1403</v>
      </c>
      <c r="AI31" s="3">
        <v>365</v>
      </c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</row>
    <row r="32" spans="1:112" x14ac:dyDescent="0.25">
      <c r="A32" s="3">
        <v>107</v>
      </c>
      <c r="B32" s="4" t="s">
        <v>54</v>
      </c>
      <c r="C32" s="1" t="s">
        <v>231</v>
      </c>
      <c r="D32" s="5" t="s">
        <v>119</v>
      </c>
      <c r="E32" s="3" t="s">
        <v>278</v>
      </c>
      <c r="F32" s="5" t="s">
        <v>184</v>
      </c>
      <c r="G32" s="3"/>
      <c r="H32" s="3" t="s">
        <v>357</v>
      </c>
      <c r="I32" s="25" t="s">
        <v>503</v>
      </c>
      <c r="J32" s="3" t="s">
        <v>556</v>
      </c>
      <c r="K32" s="7">
        <v>35925</v>
      </c>
      <c r="L32" s="10">
        <v>45476</v>
      </c>
      <c r="M32" s="36"/>
      <c r="N32" s="3" t="s">
        <v>1082</v>
      </c>
      <c r="O32" s="3" t="s">
        <v>1104</v>
      </c>
      <c r="P32" s="3"/>
      <c r="Q32" s="39">
        <v>22448</v>
      </c>
      <c r="R32" s="39">
        <f t="shared" si="0"/>
        <v>738.01643835616437</v>
      </c>
      <c r="S32" s="39">
        <f t="shared" si="1"/>
        <v>92.252054794520546</v>
      </c>
      <c r="T32" s="3" t="s">
        <v>1106</v>
      </c>
      <c r="U32" s="1">
        <v>3465696124</v>
      </c>
      <c r="V32" s="1" t="s">
        <v>1155</v>
      </c>
      <c r="W32" s="1"/>
      <c r="X32" s="1">
        <v>334672436</v>
      </c>
      <c r="Y32" s="3" t="s">
        <v>1307</v>
      </c>
      <c r="Z32" s="3"/>
      <c r="AA32" s="3"/>
      <c r="AB32" s="1" t="s">
        <v>1336</v>
      </c>
      <c r="AC32" s="41"/>
      <c r="AD32" s="41"/>
      <c r="AE32" s="3"/>
      <c r="AF32" s="3" t="s">
        <v>1397</v>
      </c>
      <c r="AG32" s="3" t="s">
        <v>1401</v>
      </c>
      <c r="AH32" s="3" t="s">
        <v>1402</v>
      </c>
      <c r="AI32" s="3">
        <v>365</v>
      </c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</row>
    <row r="33" spans="1:112" x14ac:dyDescent="0.25">
      <c r="A33" s="3">
        <v>188</v>
      </c>
      <c r="B33" s="4" t="s">
        <v>55</v>
      </c>
      <c r="C33" s="1" t="s">
        <v>231</v>
      </c>
      <c r="D33" s="5" t="s">
        <v>120</v>
      </c>
      <c r="E33" s="3" t="s">
        <v>279</v>
      </c>
      <c r="F33" s="5" t="s">
        <v>185</v>
      </c>
      <c r="G33" s="3"/>
      <c r="H33" s="3" t="s">
        <v>358</v>
      </c>
      <c r="I33" s="25" t="s">
        <v>504</v>
      </c>
      <c r="J33" s="3" t="s">
        <v>561</v>
      </c>
      <c r="K33" s="7">
        <v>37602</v>
      </c>
      <c r="L33" s="10">
        <v>45870</v>
      </c>
      <c r="M33" s="36"/>
      <c r="N33" s="3" t="s">
        <v>1082</v>
      </c>
      <c r="O33" s="3" t="s">
        <v>1099</v>
      </c>
      <c r="P33" s="3"/>
      <c r="Q33" s="39">
        <v>21007</v>
      </c>
      <c r="R33" s="39">
        <f t="shared" si="0"/>
        <v>690.64109589041095</v>
      </c>
      <c r="S33" s="39">
        <f t="shared" si="1"/>
        <v>86.330136986301369</v>
      </c>
      <c r="T33" s="3" t="s">
        <v>1106</v>
      </c>
      <c r="U33" s="1" t="s">
        <v>1114</v>
      </c>
      <c r="V33" s="1" t="s">
        <v>1156</v>
      </c>
      <c r="W33" s="1"/>
      <c r="X33" s="1"/>
      <c r="Y33" s="3" t="s">
        <v>1307</v>
      </c>
      <c r="Z33" s="3"/>
      <c r="AA33" s="3"/>
      <c r="AB33" s="1" t="s">
        <v>1337</v>
      </c>
      <c r="AC33" s="41"/>
      <c r="AD33" s="41"/>
      <c r="AE33" s="3"/>
      <c r="AF33" s="3" t="s">
        <v>1397</v>
      </c>
      <c r="AG33" s="3" t="s">
        <v>1401</v>
      </c>
      <c r="AH33" s="3" t="s">
        <v>1402</v>
      </c>
      <c r="AI33" s="3">
        <v>365</v>
      </c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</row>
    <row r="34" spans="1:112" x14ac:dyDescent="0.25">
      <c r="A34" s="3">
        <v>140</v>
      </c>
      <c r="B34" s="8" t="s">
        <v>56</v>
      </c>
      <c r="C34" s="1" t="s">
        <v>231</v>
      </c>
      <c r="D34" s="5" t="s">
        <v>121</v>
      </c>
      <c r="E34" s="3" t="s">
        <v>280</v>
      </c>
      <c r="F34" s="5" t="s">
        <v>186</v>
      </c>
      <c r="G34" s="3"/>
      <c r="H34" s="3" t="s">
        <v>359</v>
      </c>
      <c r="I34" s="25" t="s">
        <v>488</v>
      </c>
      <c r="J34" s="3" t="s">
        <v>556</v>
      </c>
      <c r="K34" s="9">
        <v>36791</v>
      </c>
      <c r="L34" s="32">
        <v>45152</v>
      </c>
      <c r="M34" s="35">
        <v>46248</v>
      </c>
      <c r="N34" s="3" t="s">
        <v>1082</v>
      </c>
      <c r="O34" s="3" t="s">
        <v>1104</v>
      </c>
      <c r="P34" s="3"/>
      <c r="Q34" s="39">
        <v>24703</v>
      </c>
      <c r="R34" s="39">
        <f t="shared" si="0"/>
        <v>812.15342465753429</v>
      </c>
      <c r="S34" s="39">
        <f t="shared" si="1"/>
        <v>101.51917808219179</v>
      </c>
      <c r="T34" s="3" t="s">
        <v>1106</v>
      </c>
      <c r="U34" s="1" t="s">
        <v>1115</v>
      </c>
      <c r="V34" s="1" t="s">
        <v>1157</v>
      </c>
      <c r="W34" s="1" t="s">
        <v>1237</v>
      </c>
      <c r="X34" s="1"/>
      <c r="Y34" s="3" t="s">
        <v>1307</v>
      </c>
      <c r="Z34" s="3"/>
      <c r="AA34" s="3"/>
      <c r="AB34" s="1" t="s">
        <v>1338</v>
      </c>
      <c r="AC34" s="41"/>
      <c r="AD34" s="41"/>
      <c r="AE34" s="3"/>
      <c r="AF34" s="3" t="s">
        <v>1396</v>
      </c>
      <c r="AG34" s="3" t="s">
        <v>1400</v>
      </c>
      <c r="AH34" s="3" t="s">
        <v>1402</v>
      </c>
      <c r="AI34" s="3">
        <v>365</v>
      </c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</row>
    <row r="35" spans="1:112" x14ac:dyDescent="0.25">
      <c r="A35" s="3">
        <v>169</v>
      </c>
      <c r="B35" s="8" t="s">
        <v>57</v>
      </c>
      <c r="C35" s="1" t="s">
        <v>231</v>
      </c>
      <c r="D35" s="5" t="s">
        <v>122</v>
      </c>
      <c r="E35" s="3" t="s">
        <v>281</v>
      </c>
      <c r="F35" s="5" t="s">
        <v>187</v>
      </c>
      <c r="G35" s="3"/>
      <c r="H35" s="3" t="s">
        <v>360</v>
      </c>
      <c r="I35" s="25" t="s">
        <v>505</v>
      </c>
      <c r="J35" s="3" t="s">
        <v>561</v>
      </c>
      <c r="K35" s="9">
        <v>36995</v>
      </c>
      <c r="L35" s="10">
        <v>45805</v>
      </c>
      <c r="M35" s="36"/>
      <c r="N35" s="3" t="s">
        <v>1082</v>
      </c>
      <c r="O35" s="3" t="s">
        <v>1104</v>
      </c>
      <c r="P35" s="3"/>
      <c r="Q35" s="39">
        <v>21107</v>
      </c>
      <c r="R35" s="39">
        <f t="shared" si="0"/>
        <v>693.92876712328768</v>
      </c>
      <c r="S35" s="39">
        <f t="shared" si="1"/>
        <v>86.741095890410961</v>
      </c>
      <c r="T35" s="3" t="s">
        <v>1106</v>
      </c>
      <c r="U35" s="1">
        <v>3508892746</v>
      </c>
      <c r="V35" s="1" t="s">
        <v>1158</v>
      </c>
      <c r="W35" s="1" t="s">
        <v>1238</v>
      </c>
      <c r="X35" s="1">
        <v>629768242</v>
      </c>
      <c r="Y35" s="3" t="s">
        <v>1307</v>
      </c>
      <c r="Z35" s="3"/>
      <c r="AA35" s="3"/>
      <c r="AB35" s="1" t="s">
        <v>1339</v>
      </c>
      <c r="AC35" s="41"/>
      <c r="AD35" s="41"/>
      <c r="AE35" s="3"/>
      <c r="AF35" s="3" t="s">
        <v>1397</v>
      </c>
      <c r="AG35" s="3" t="s">
        <v>1401</v>
      </c>
      <c r="AH35" s="3" t="s">
        <v>1402</v>
      </c>
      <c r="AI35" s="3">
        <v>365</v>
      </c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</row>
    <row r="36" spans="1:112" x14ac:dyDescent="0.25">
      <c r="A36" s="3">
        <v>55</v>
      </c>
      <c r="B36" s="4" t="s">
        <v>58</v>
      </c>
      <c r="C36" s="1" t="s">
        <v>231</v>
      </c>
      <c r="D36" s="5" t="s">
        <v>123</v>
      </c>
      <c r="E36" s="3" t="s">
        <v>282</v>
      </c>
      <c r="F36" s="5" t="s">
        <v>188</v>
      </c>
      <c r="G36" s="3"/>
      <c r="H36" s="3" t="s">
        <v>361</v>
      </c>
      <c r="I36" s="25" t="s">
        <v>506</v>
      </c>
      <c r="J36" s="3" t="s">
        <v>556</v>
      </c>
      <c r="K36" s="11">
        <v>37209</v>
      </c>
      <c r="L36" s="10">
        <v>45467</v>
      </c>
      <c r="M36" s="36"/>
      <c r="N36" s="3" t="s">
        <v>1082</v>
      </c>
      <c r="O36" s="3" t="s">
        <v>1095</v>
      </c>
      <c r="P36" s="3"/>
      <c r="Q36" s="39">
        <v>22448</v>
      </c>
      <c r="R36" s="39">
        <f t="shared" si="0"/>
        <v>738.01643835616437</v>
      </c>
      <c r="S36" s="39">
        <f t="shared" si="1"/>
        <v>92.252054794520546</v>
      </c>
      <c r="T36" s="3" t="s">
        <v>1106</v>
      </c>
      <c r="U36" s="1">
        <v>3490761707</v>
      </c>
      <c r="V36" s="1" t="s">
        <v>1159</v>
      </c>
      <c r="W36" s="1" t="s">
        <v>1239</v>
      </c>
      <c r="X36" s="1">
        <v>759704909</v>
      </c>
      <c r="Y36" s="3" t="s">
        <v>1307</v>
      </c>
      <c r="Z36" s="3"/>
      <c r="AA36" s="3"/>
      <c r="AB36" s="1" t="s">
        <v>1340</v>
      </c>
      <c r="AC36" s="41"/>
      <c r="AD36" s="41"/>
      <c r="AE36" s="3"/>
      <c r="AF36" s="3" t="s">
        <v>1397</v>
      </c>
      <c r="AG36" s="3" t="s">
        <v>1401</v>
      </c>
      <c r="AH36" s="3" t="s">
        <v>1402</v>
      </c>
      <c r="AI36" s="3">
        <v>365</v>
      </c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</row>
    <row r="37" spans="1:112" x14ac:dyDescent="0.25">
      <c r="A37" s="3">
        <v>89</v>
      </c>
      <c r="B37" s="4" t="s">
        <v>59</v>
      </c>
      <c r="C37" s="1" t="s">
        <v>231</v>
      </c>
      <c r="D37" s="5" t="s">
        <v>124</v>
      </c>
      <c r="E37" s="3" t="s">
        <v>204</v>
      </c>
      <c r="F37" s="5" t="s">
        <v>189</v>
      </c>
      <c r="G37" s="3"/>
      <c r="H37" s="3" t="s">
        <v>362</v>
      </c>
      <c r="I37" s="25" t="s">
        <v>507</v>
      </c>
      <c r="J37" s="3" t="s">
        <v>556</v>
      </c>
      <c r="K37" s="11">
        <v>36591</v>
      </c>
      <c r="L37" s="10">
        <v>45803</v>
      </c>
      <c r="M37" s="36"/>
      <c r="N37" s="3" t="s">
        <v>1082</v>
      </c>
      <c r="O37" s="3" t="s">
        <v>1090</v>
      </c>
      <c r="P37" s="3"/>
      <c r="Q37" s="39">
        <v>21007</v>
      </c>
      <c r="R37" s="39">
        <f t="shared" si="0"/>
        <v>690.64109589041095</v>
      </c>
      <c r="S37" s="39">
        <f t="shared" si="1"/>
        <v>86.330136986301369</v>
      </c>
      <c r="T37" s="3" t="s">
        <v>1106</v>
      </c>
      <c r="U37" s="1">
        <v>3469972129</v>
      </c>
      <c r="V37" s="1" t="s">
        <v>1160</v>
      </c>
      <c r="W37" s="1" t="s">
        <v>1240</v>
      </c>
      <c r="X37" s="1">
        <v>674796558</v>
      </c>
      <c r="Y37" s="3" t="s">
        <v>1307</v>
      </c>
      <c r="Z37" s="3"/>
      <c r="AA37" s="3"/>
      <c r="AB37" s="1" t="s">
        <v>1341</v>
      </c>
      <c r="AC37" s="41"/>
      <c r="AD37" s="41"/>
      <c r="AE37" s="3"/>
      <c r="AF37" s="3" t="s">
        <v>1397</v>
      </c>
      <c r="AG37" s="3" t="s">
        <v>1401</v>
      </c>
      <c r="AH37" s="3" t="s">
        <v>1402</v>
      </c>
      <c r="AI37" s="3">
        <v>365</v>
      </c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</row>
    <row r="38" spans="1:112" x14ac:dyDescent="0.25">
      <c r="A38" s="3">
        <v>98</v>
      </c>
      <c r="B38" s="13" t="s">
        <v>60</v>
      </c>
      <c r="C38" s="1" t="s">
        <v>231</v>
      </c>
      <c r="D38" s="5" t="s">
        <v>125</v>
      </c>
      <c r="E38" s="3" t="s">
        <v>283</v>
      </c>
      <c r="F38" s="5" t="s">
        <v>190</v>
      </c>
      <c r="G38" s="3"/>
      <c r="H38" s="3" t="s">
        <v>363</v>
      </c>
      <c r="I38" s="25" t="s">
        <v>508</v>
      </c>
      <c r="J38" s="3" t="s">
        <v>564</v>
      </c>
      <c r="K38" s="14">
        <v>34739</v>
      </c>
      <c r="L38" s="10">
        <v>45901</v>
      </c>
      <c r="M38" s="36"/>
      <c r="N38" s="3" t="s">
        <v>1082</v>
      </c>
      <c r="O38" s="3" t="s">
        <v>1104</v>
      </c>
      <c r="P38" s="3"/>
      <c r="Q38" s="39">
        <v>19550</v>
      </c>
      <c r="R38" s="39">
        <f t="shared" si="0"/>
        <v>642.7397260273973</v>
      </c>
      <c r="S38" s="39">
        <f t="shared" si="1"/>
        <v>80.342465753424662</v>
      </c>
      <c r="T38" s="3" t="s">
        <v>1106</v>
      </c>
      <c r="U38" s="1" t="s">
        <v>1116</v>
      </c>
      <c r="V38" s="1" t="s">
        <v>1161</v>
      </c>
      <c r="W38" s="1" t="s">
        <v>1241</v>
      </c>
      <c r="X38" s="1">
        <v>314926646</v>
      </c>
      <c r="Y38" s="3" t="s">
        <v>1307</v>
      </c>
      <c r="Z38" s="3"/>
      <c r="AA38" s="3"/>
      <c r="AB38" s="1" t="s">
        <v>1342</v>
      </c>
      <c r="AC38" s="41"/>
      <c r="AD38" s="41"/>
      <c r="AE38" s="3"/>
      <c r="AF38" s="3" t="s">
        <v>1397</v>
      </c>
      <c r="AG38" s="3" t="s">
        <v>1401</v>
      </c>
      <c r="AH38" s="3" t="s">
        <v>1403</v>
      </c>
      <c r="AI38" s="3">
        <v>365</v>
      </c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</row>
    <row r="39" spans="1:112" x14ac:dyDescent="0.25">
      <c r="A39" s="3">
        <v>44</v>
      </c>
      <c r="B39" s="12" t="s">
        <v>61</v>
      </c>
      <c r="C39" s="1" t="s">
        <v>231</v>
      </c>
      <c r="D39" s="5" t="s">
        <v>126</v>
      </c>
      <c r="E39" s="3" t="s">
        <v>284</v>
      </c>
      <c r="F39" s="5" t="s">
        <v>191</v>
      </c>
      <c r="G39" s="3"/>
      <c r="H39" s="3" t="s">
        <v>364</v>
      </c>
      <c r="I39" s="25" t="s">
        <v>509</v>
      </c>
      <c r="J39" s="3" t="s">
        <v>556</v>
      </c>
      <c r="K39" s="11">
        <v>27020</v>
      </c>
      <c r="L39" s="32">
        <v>44652</v>
      </c>
      <c r="M39" s="35">
        <v>45748</v>
      </c>
      <c r="N39" s="3" t="s">
        <v>1082</v>
      </c>
      <c r="O39" s="3" t="s">
        <v>1097</v>
      </c>
      <c r="P39" s="3"/>
      <c r="Q39" s="39">
        <v>30317</v>
      </c>
      <c r="R39" s="39">
        <f t="shared" si="0"/>
        <v>996.72328767123292</v>
      </c>
      <c r="S39" s="39">
        <f t="shared" si="1"/>
        <v>124.59041095890412</v>
      </c>
      <c r="T39" s="3" t="s">
        <v>1105</v>
      </c>
      <c r="U39" s="1"/>
      <c r="V39" s="1"/>
      <c r="W39" s="1" t="s">
        <v>1242</v>
      </c>
      <c r="X39" s="1">
        <v>175581947</v>
      </c>
      <c r="Y39" s="3" t="s">
        <v>1307</v>
      </c>
      <c r="Z39" s="3"/>
      <c r="AA39" s="3"/>
      <c r="AB39" s="1" t="s">
        <v>1343</v>
      </c>
      <c r="AC39" s="41"/>
      <c r="AD39" s="41"/>
      <c r="AE39" s="3"/>
      <c r="AF39" s="3" t="s">
        <v>1396</v>
      </c>
      <c r="AG39" s="3" t="s">
        <v>1400</v>
      </c>
      <c r="AH39" s="3" t="s">
        <v>1402</v>
      </c>
      <c r="AI39" s="3">
        <v>365</v>
      </c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</row>
    <row r="40" spans="1:112" x14ac:dyDescent="0.25">
      <c r="A40" s="3">
        <v>50</v>
      </c>
      <c r="B40" s="12" t="s">
        <v>62</v>
      </c>
      <c r="C40" s="1" t="s">
        <v>231</v>
      </c>
      <c r="D40" s="5" t="s">
        <v>127</v>
      </c>
      <c r="E40" s="3" t="s">
        <v>285</v>
      </c>
      <c r="F40" s="5" t="s">
        <v>192</v>
      </c>
      <c r="G40" s="3"/>
      <c r="H40" s="3" t="s">
        <v>365</v>
      </c>
      <c r="I40" s="25" t="s">
        <v>510</v>
      </c>
      <c r="J40" s="3" t="s">
        <v>561</v>
      </c>
      <c r="K40" s="11">
        <v>37793</v>
      </c>
      <c r="L40" s="10">
        <v>45873</v>
      </c>
      <c r="M40" s="36"/>
      <c r="N40" s="3" t="s">
        <v>1082</v>
      </c>
      <c r="O40" s="3" t="s">
        <v>1099</v>
      </c>
      <c r="P40" s="3"/>
      <c r="Q40" s="39">
        <v>21007</v>
      </c>
      <c r="R40" s="39">
        <f t="shared" si="0"/>
        <v>690.64109589041095</v>
      </c>
      <c r="S40" s="39">
        <f t="shared" si="1"/>
        <v>86.330136986301369</v>
      </c>
      <c r="T40" s="3" t="s">
        <v>1106</v>
      </c>
      <c r="U40" s="1" t="s">
        <v>1117</v>
      </c>
      <c r="V40" s="1"/>
      <c r="W40" s="1" t="s">
        <v>1243</v>
      </c>
      <c r="X40" s="1"/>
      <c r="Y40" s="3" t="s">
        <v>1307</v>
      </c>
      <c r="Z40" s="3"/>
      <c r="AA40" s="3"/>
      <c r="AB40" s="1" t="s">
        <v>1344</v>
      </c>
      <c r="AC40" s="41"/>
      <c r="AD40" s="41"/>
      <c r="AE40" s="3"/>
      <c r="AF40" s="3" t="s">
        <v>1397</v>
      </c>
      <c r="AG40" s="3" t="s">
        <v>1401</v>
      </c>
      <c r="AH40" s="3" t="s">
        <v>1402</v>
      </c>
      <c r="AI40" s="3">
        <v>365</v>
      </c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</row>
    <row r="41" spans="1:112" x14ac:dyDescent="0.25">
      <c r="A41" s="3">
        <v>74</v>
      </c>
      <c r="B41" s="12" t="s">
        <v>63</v>
      </c>
      <c r="C41" s="1" t="s">
        <v>231</v>
      </c>
      <c r="D41" s="5" t="s">
        <v>128</v>
      </c>
      <c r="E41" s="3" t="s">
        <v>286</v>
      </c>
      <c r="F41" s="5" t="s">
        <v>193</v>
      </c>
      <c r="G41" s="3"/>
      <c r="H41" s="3" t="s">
        <v>366</v>
      </c>
      <c r="I41" s="25" t="s">
        <v>511</v>
      </c>
      <c r="J41" s="3" t="s">
        <v>567</v>
      </c>
      <c r="K41" s="11">
        <v>36573</v>
      </c>
      <c r="L41" s="10">
        <v>45474</v>
      </c>
      <c r="M41" s="36"/>
      <c r="N41" s="3" t="s">
        <v>1082</v>
      </c>
      <c r="O41" s="3" t="s">
        <v>1097</v>
      </c>
      <c r="P41" s="3"/>
      <c r="Q41" s="39">
        <v>22448</v>
      </c>
      <c r="R41" s="39">
        <f t="shared" si="0"/>
        <v>738.01643835616437</v>
      </c>
      <c r="S41" s="39">
        <f t="shared" si="1"/>
        <v>92.252054794520546</v>
      </c>
      <c r="T41" s="3" t="s">
        <v>1106</v>
      </c>
      <c r="U41" s="1">
        <v>3531172857</v>
      </c>
      <c r="V41" s="1" t="s">
        <v>1162</v>
      </c>
      <c r="W41" s="1" t="s">
        <v>1244</v>
      </c>
      <c r="X41" s="1">
        <v>650791262</v>
      </c>
      <c r="Y41" s="3" t="s">
        <v>1307</v>
      </c>
      <c r="Z41" s="3"/>
      <c r="AA41" s="3"/>
      <c r="AB41" s="1" t="s">
        <v>1345</v>
      </c>
      <c r="AC41" s="41"/>
      <c r="AD41" s="41"/>
      <c r="AE41" s="3"/>
      <c r="AF41" s="3" t="s">
        <v>1397</v>
      </c>
      <c r="AG41" s="3" t="s">
        <v>1401</v>
      </c>
      <c r="AH41" s="3" t="s">
        <v>1402</v>
      </c>
      <c r="AI41" s="3">
        <v>365</v>
      </c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</row>
    <row r="42" spans="1:112" x14ac:dyDescent="0.25">
      <c r="A42" s="3">
        <v>194</v>
      </c>
      <c r="B42" s="12" t="s">
        <v>464</v>
      </c>
      <c r="C42" s="1"/>
      <c r="D42" s="5" t="s">
        <v>287</v>
      </c>
      <c r="E42" s="3" t="s">
        <v>288</v>
      </c>
      <c r="F42" s="5" t="s">
        <v>289</v>
      </c>
      <c r="G42" s="3"/>
      <c r="H42" s="3" t="s">
        <v>367</v>
      </c>
      <c r="I42" s="25" t="s">
        <v>512</v>
      </c>
      <c r="J42" s="3" t="s">
        <v>561</v>
      </c>
      <c r="K42" s="11">
        <v>37654</v>
      </c>
      <c r="L42" s="10">
        <v>46188</v>
      </c>
      <c r="M42" s="36"/>
      <c r="N42" s="3" t="s">
        <v>1082</v>
      </c>
      <c r="O42" s="3" t="s">
        <v>1104</v>
      </c>
      <c r="P42" s="3"/>
      <c r="Q42" s="39">
        <v>20057</v>
      </c>
      <c r="R42" s="39">
        <f t="shared" si="0"/>
        <v>659.40821917808216</v>
      </c>
      <c r="S42" s="39">
        <f t="shared" si="1"/>
        <v>82.42602739726027</v>
      </c>
      <c r="T42" s="3" t="s">
        <v>1106</v>
      </c>
      <c r="U42" s="1" t="s">
        <v>1118</v>
      </c>
      <c r="V42" s="1" t="s">
        <v>1163</v>
      </c>
      <c r="W42" s="1" t="s">
        <v>1245</v>
      </c>
      <c r="X42" s="1">
        <v>775661435</v>
      </c>
      <c r="Y42" s="3" t="s">
        <v>1307</v>
      </c>
      <c r="Z42" s="3"/>
      <c r="AA42" s="3"/>
      <c r="AB42" s="1" t="s">
        <v>1346</v>
      </c>
      <c r="AC42" s="41"/>
      <c r="AD42" s="41"/>
      <c r="AE42" s="3"/>
      <c r="AF42" s="3" t="s">
        <v>1397</v>
      </c>
      <c r="AG42" s="3" t="s">
        <v>1401</v>
      </c>
      <c r="AH42" s="3" t="s">
        <v>1402</v>
      </c>
      <c r="AI42" s="3">
        <v>365</v>
      </c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</row>
    <row r="43" spans="1:112" x14ac:dyDescent="0.25">
      <c r="A43" s="3">
        <v>32</v>
      </c>
      <c r="B43" s="4" t="s">
        <v>455</v>
      </c>
      <c r="C43" s="1"/>
      <c r="D43" s="5" t="s">
        <v>290</v>
      </c>
      <c r="E43" s="3" t="s">
        <v>291</v>
      </c>
      <c r="F43" s="5" t="s">
        <v>292</v>
      </c>
      <c r="G43" s="3"/>
      <c r="H43" s="3" t="s">
        <v>368</v>
      </c>
      <c r="I43" s="25" t="s">
        <v>513</v>
      </c>
      <c r="J43" s="3" t="s">
        <v>556</v>
      </c>
      <c r="K43" s="11">
        <v>30677</v>
      </c>
      <c r="L43" s="10">
        <v>46223</v>
      </c>
      <c r="M43" s="36"/>
      <c r="N43" s="3" t="s">
        <v>1083</v>
      </c>
      <c r="O43" s="3" t="s">
        <v>1083</v>
      </c>
      <c r="P43" s="3"/>
      <c r="Q43" s="39">
        <v>25166</v>
      </c>
      <c r="R43" s="39">
        <f t="shared" si="0"/>
        <v>827.37534246575342</v>
      </c>
      <c r="S43" s="39">
        <f t="shared" si="1"/>
        <v>103.42191780821918</v>
      </c>
      <c r="T43" s="3" t="s">
        <v>1106</v>
      </c>
      <c r="U43" s="1">
        <v>3394458161</v>
      </c>
      <c r="V43" s="1" t="s">
        <v>1164</v>
      </c>
      <c r="W43" s="1" t="s">
        <v>1246</v>
      </c>
      <c r="X43" s="1">
        <v>243344767</v>
      </c>
      <c r="Y43" s="3" t="s">
        <v>1307</v>
      </c>
      <c r="Z43" s="3"/>
      <c r="AA43" s="3"/>
      <c r="AB43" s="1" t="s">
        <v>1347</v>
      </c>
      <c r="AC43" s="41"/>
      <c r="AD43" s="41"/>
      <c r="AE43" s="3"/>
      <c r="AF43" s="3" t="s">
        <v>1397</v>
      </c>
      <c r="AG43" s="3" t="s">
        <v>1401</v>
      </c>
      <c r="AH43" s="3"/>
      <c r="AI43" s="3">
        <v>365</v>
      </c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</row>
    <row r="44" spans="1:112" x14ac:dyDescent="0.25">
      <c r="A44" s="3">
        <v>37</v>
      </c>
      <c r="B44" s="15" t="s">
        <v>64</v>
      </c>
      <c r="C44" s="1" t="s">
        <v>231</v>
      </c>
      <c r="D44" s="5" t="s">
        <v>129</v>
      </c>
      <c r="E44" s="3" t="s">
        <v>293</v>
      </c>
      <c r="F44" s="5" t="s">
        <v>194</v>
      </c>
      <c r="G44" s="3"/>
      <c r="H44" s="3" t="s">
        <v>369</v>
      </c>
      <c r="I44" s="25" t="s">
        <v>514</v>
      </c>
      <c r="J44" s="3" t="s">
        <v>568</v>
      </c>
      <c r="K44" s="11">
        <v>34553</v>
      </c>
      <c r="L44" s="32">
        <v>43214</v>
      </c>
      <c r="M44" s="35">
        <v>44310</v>
      </c>
      <c r="N44" s="3" t="s">
        <v>1082</v>
      </c>
      <c r="O44" s="3" t="s">
        <v>1104</v>
      </c>
      <c r="P44" s="3"/>
      <c r="Q44" s="39">
        <v>30680</v>
      </c>
      <c r="R44" s="39">
        <f t="shared" si="0"/>
        <v>1008.6575342465753</v>
      </c>
      <c r="S44" s="39">
        <f t="shared" si="1"/>
        <v>126.08219178082192</v>
      </c>
      <c r="T44" s="3" t="s">
        <v>1106</v>
      </c>
      <c r="U44" s="1">
        <v>3437685765</v>
      </c>
      <c r="V44" s="1"/>
      <c r="W44" s="1" t="s">
        <v>1247</v>
      </c>
      <c r="X44" s="1">
        <v>709574226</v>
      </c>
      <c r="Y44" s="3" t="s">
        <v>1307</v>
      </c>
      <c r="Z44" s="3"/>
      <c r="AA44" s="3"/>
      <c r="AB44" s="1" t="s">
        <v>1348</v>
      </c>
      <c r="AC44" s="41"/>
      <c r="AD44" s="41"/>
      <c r="AE44" s="3"/>
      <c r="AF44" s="3" t="s">
        <v>1396</v>
      </c>
      <c r="AG44" s="3" t="s">
        <v>1400</v>
      </c>
      <c r="AH44" s="3" t="s">
        <v>1402</v>
      </c>
      <c r="AI44" s="3">
        <v>365</v>
      </c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</row>
    <row r="45" spans="1:112" x14ac:dyDescent="0.25">
      <c r="A45" s="3">
        <v>47</v>
      </c>
      <c r="B45" s="15" t="s">
        <v>65</v>
      </c>
      <c r="C45" s="1" t="s">
        <v>231</v>
      </c>
      <c r="D45" s="5" t="s">
        <v>130</v>
      </c>
      <c r="E45" s="3" t="s">
        <v>294</v>
      </c>
      <c r="F45" s="5" t="s">
        <v>195</v>
      </c>
      <c r="G45" s="3"/>
      <c r="H45" s="3" t="s">
        <v>370</v>
      </c>
      <c r="I45" s="25" t="s">
        <v>515</v>
      </c>
      <c r="J45" s="3" t="s">
        <v>568</v>
      </c>
      <c r="K45" s="11">
        <v>34639</v>
      </c>
      <c r="L45" s="32">
        <v>42867</v>
      </c>
      <c r="M45" s="35">
        <v>43953</v>
      </c>
      <c r="N45" s="3" t="s">
        <v>1082</v>
      </c>
      <c r="O45" s="3" t="s">
        <v>1102</v>
      </c>
      <c r="P45" s="3"/>
      <c r="Q45" s="39">
        <v>37096</v>
      </c>
      <c r="R45" s="39">
        <f t="shared" si="0"/>
        <v>1219.5945205479452</v>
      </c>
      <c r="S45" s="39">
        <f t="shared" si="1"/>
        <v>152.44931506849315</v>
      </c>
      <c r="T45" s="3" t="s">
        <v>1106</v>
      </c>
      <c r="U45" s="1" t="s">
        <v>1119</v>
      </c>
      <c r="V45" s="1" t="s">
        <v>1165</v>
      </c>
      <c r="W45" s="1" t="s">
        <v>1248</v>
      </c>
      <c r="X45" s="1">
        <v>486872295</v>
      </c>
      <c r="Y45" s="3" t="s">
        <v>1307</v>
      </c>
      <c r="Z45" s="3"/>
      <c r="AA45" s="3"/>
      <c r="AB45" s="1" t="s">
        <v>1349</v>
      </c>
      <c r="AC45" s="41"/>
      <c r="AD45" s="41"/>
      <c r="AE45" s="3"/>
      <c r="AF45" s="3" t="s">
        <v>1396</v>
      </c>
      <c r="AG45" s="3" t="s">
        <v>1400</v>
      </c>
      <c r="AH45" s="3" t="s">
        <v>1402</v>
      </c>
      <c r="AI45" s="3">
        <v>365</v>
      </c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</row>
    <row r="46" spans="1:112" x14ac:dyDescent="0.25">
      <c r="A46" s="3">
        <v>127</v>
      </c>
      <c r="B46" s="12" t="s">
        <v>464</v>
      </c>
      <c r="C46" s="1"/>
      <c r="D46" s="5" t="s">
        <v>295</v>
      </c>
      <c r="E46" s="3" t="s">
        <v>296</v>
      </c>
      <c r="F46" s="5" t="s">
        <v>297</v>
      </c>
      <c r="G46" s="3"/>
      <c r="H46" s="3" t="s">
        <v>372</v>
      </c>
      <c r="I46" s="25" t="s">
        <v>516</v>
      </c>
      <c r="J46" s="3" t="s">
        <v>561</v>
      </c>
      <c r="K46" s="9">
        <v>35823</v>
      </c>
      <c r="L46" s="10">
        <v>46118</v>
      </c>
      <c r="M46" s="36"/>
      <c r="N46" s="3" t="s">
        <v>1082</v>
      </c>
      <c r="O46" s="3" t="s">
        <v>1090</v>
      </c>
      <c r="P46" s="3"/>
      <c r="Q46" s="39">
        <v>20157</v>
      </c>
      <c r="R46" s="39">
        <f t="shared" si="0"/>
        <v>662.6958904109589</v>
      </c>
      <c r="S46" s="39">
        <f t="shared" si="1"/>
        <v>82.836986301369862</v>
      </c>
      <c r="T46" s="3" t="s">
        <v>1106</v>
      </c>
      <c r="U46" s="1" t="s">
        <v>1120</v>
      </c>
      <c r="V46" s="1" t="s">
        <v>1166</v>
      </c>
      <c r="W46" s="1" t="s">
        <v>1249</v>
      </c>
      <c r="X46" s="1">
        <v>351384297</v>
      </c>
      <c r="Y46" s="3" t="s">
        <v>1307</v>
      </c>
      <c r="Z46" s="3"/>
      <c r="AA46" s="3"/>
      <c r="AB46" s="1" t="s">
        <v>1350</v>
      </c>
      <c r="AC46" s="41"/>
      <c r="AD46" s="41"/>
      <c r="AE46" s="3"/>
      <c r="AF46" s="3" t="s">
        <v>1397</v>
      </c>
      <c r="AG46" s="3" t="s">
        <v>1401</v>
      </c>
      <c r="AH46" s="3" t="s">
        <v>1402</v>
      </c>
      <c r="AI46" s="3">
        <v>365</v>
      </c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</row>
    <row r="47" spans="1:112" x14ac:dyDescent="0.25">
      <c r="A47" s="3">
        <v>153</v>
      </c>
      <c r="B47" s="8" t="s">
        <v>465</v>
      </c>
      <c r="C47" s="1"/>
      <c r="D47" s="5" t="s">
        <v>298</v>
      </c>
      <c r="E47" s="3"/>
      <c r="F47" s="5" t="s">
        <v>299</v>
      </c>
      <c r="G47" s="3"/>
      <c r="H47" s="3" t="s">
        <v>373</v>
      </c>
      <c r="I47" s="25" t="s">
        <v>518</v>
      </c>
      <c r="J47" s="3" t="s">
        <v>561</v>
      </c>
      <c r="K47" s="9">
        <v>37550</v>
      </c>
      <c r="L47" s="10">
        <v>46174</v>
      </c>
      <c r="M47" s="36"/>
      <c r="N47" s="3" t="s">
        <v>1082</v>
      </c>
      <c r="O47" s="3" t="s">
        <v>1085</v>
      </c>
      <c r="P47" s="3"/>
      <c r="Q47" s="39">
        <v>17529</v>
      </c>
      <c r="R47" s="39">
        <f t="shared" si="0"/>
        <v>576.29589041095892</v>
      </c>
      <c r="S47" s="39">
        <f t="shared" si="1"/>
        <v>72.036986301369865</v>
      </c>
      <c r="T47" s="3" t="s">
        <v>1106</v>
      </c>
      <c r="U47" s="1">
        <v>3519545480</v>
      </c>
      <c r="V47" s="1" t="s">
        <v>1167</v>
      </c>
      <c r="W47" s="1" t="s">
        <v>1250</v>
      </c>
      <c r="X47" s="1">
        <v>516817107</v>
      </c>
      <c r="Y47" s="3" t="s">
        <v>1307</v>
      </c>
      <c r="Z47" s="3"/>
      <c r="AA47" s="3"/>
      <c r="AB47" s="1" t="s">
        <v>1351</v>
      </c>
      <c r="AC47" s="41"/>
      <c r="AD47" s="41"/>
      <c r="AE47" s="3"/>
      <c r="AF47" s="3" t="s">
        <v>1397</v>
      </c>
      <c r="AG47" s="3" t="s">
        <v>1401</v>
      </c>
      <c r="AH47" s="3" t="s">
        <v>1403</v>
      </c>
      <c r="AI47" s="3">
        <v>365</v>
      </c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</row>
    <row r="48" spans="1:112" x14ac:dyDescent="0.25">
      <c r="A48" s="3">
        <v>168</v>
      </c>
      <c r="B48" s="8" t="s">
        <v>98</v>
      </c>
      <c r="C48" s="1" t="s">
        <v>231</v>
      </c>
      <c r="D48" s="5" t="s">
        <v>163</v>
      </c>
      <c r="E48" s="3" t="s">
        <v>230</v>
      </c>
      <c r="F48" s="5" t="s">
        <v>421</v>
      </c>
      <c r="G48" s="3"/>
      <c r="H48" s="3" t="s">
        <v>446</v>
      </c>
      <c r="I48" s="25" t="s">
        <v>554</v>
      </c>
      <c r="J48" s="3" t="s">
        <v>567</v>
      </c>
      <c r="K48" s="9">
        <v>36129</v>
      </c>
      <c r="L48" s="32">
        <v>45180</v>
      </c>
      <c r="M48" s="35">
        <v>46276</v>
      </c>
      <c r="N48" s="3" t="s">
        <v>1082</v>
      </c>
      <c r="O48" s="3" t="s">
        <v>1089</v>
      </c>
      <c r="P48" s="3"/>
      <c r="Q48" s="39">
        <v>27700</v>
      </c>
      <c r="R48" s="39">
        <f t="shared" si="0"/>
        <v>910.68493150684935</v>
      </c>
      <c r="S48" s="39">
        <f t="shared" si="1"/>
        <v>113.83561643835617</v>
      </c>
      <c r="T48" s="3" t="s">
        <v>1105</v>
      </c>
      <c r="U48" s="1">
        <v>3483511278</v>
      </c>
      <c r="V48" s="1" t="s">
        <v>1168</v>
      </c>
      <c r="W48" s="1" t="s">
        <v>1251</v>
      </c>
      <c r="X48" s="1">
        <v>368789606</v>
      </c>
      <c r="Y48" s="3" t="s">
        <v>1307</v>
      </c>
      <c r="Z48" s="3"/>
      <c r="AA48" s="3"/>
      <c r="AB48" s="1" t="s">
        <v>1352</v>
      </c>
      <c r="AC48" s="41"/>
      <c r="AD48" s="41"/>
      <c r="AE48" s="3"/>
      <c r="AF48" s="3" t="s">
        <v>1396</v>
      </c>
      <c r="AG48" s="3" t="s">
        <v>1400</v>
      </c>
      <c r="AH48" s="3" t="s">
        <v>1402</v>
      </c>
      <c r="AI48" s="3">
        <v>365</v>
      </c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</row>
    <row r="49" spans="1:112" x14ac:dyDescent="0.25">
      <c r="A49" s="3">
        <v>111</v>
      </c>
      <c r="B49" s="4" t="s">
        <v>67</v>
      </c>
      <c r="C49" s="1" t="s">
        <v>231</v>
      </c>
      <c r="D49" s="5" t="s">
        <v>132</v>
      </c>
      <c r="E49" s="3" t="s">
        <v>300</v>
      </c>
      <c r="F49" s="5" t="s">
        <v>197</v>
      </c>
      <c r="G49" s="3"/>
      <c r="H49" s="3" t="s">
        <v>374</v>
      </c>
      <c r="I49" s="25" t="s">
        <v>519</v>
      </c>
      <c r="J49" s="3" t="s">
        <v>570</v>
      </c>
      <c r="K49" s="11">
        <v>33213</v>
      </c>
      <c r="L49" s="32">
        <v>42492</v>
      </c>
      <c r="M49" s="35">
        <v>43587</v>
      </c>
      <c r="N49" s="3" t="s">
        <v>1082</v>
      </c>
      <c r="O49" s="3" t="s">
        <v>1104</v>
      </c>
      <c r="P49" s="3"/>
      <c r="Q49" s="39">
        <v>29826</v>
      </c>
      <c r="R49" s="39">
        <f t="shared" si="0"/>
        <v>980.58082191780818</v>
      </c>
      <c r="S49" s="39">
        <f t="shared" si="1"/>
        <v>122.57260273972602</v>
      </c>
      <c r="T49" s="3" t="s">
        <v>1106</v>
      </c>
      <c r="U49" s="1">
        <v>3413353639</v>
      </c>
      <c r="V49" s="1" t="s">
        <v>1169</v>
      </c>
      <c r="W49" s="1" t="s">
        <v>1252</v>
      </c>
      <c r="X49" s="1" t="s">
        <v>1295</v>
      </c>
      <c r="Y49" s="3" t="s">
        <v>1307</v>
      </c>
      <c r="Z49" s="3"/>
      <c r="AA49" s="3"/>
      <c r="AB49" s="1" t="s">
        <v>1353</v>
      </c>
      <c r="AC49" s="41"/>
      <c r="AD49" s="41"/>
      <c r="AE49" s="3"/>
      <c r="AF49" s="3" t="s">
        <v>1396</v>
      </c>
      <c r="AG49" s="3" t="s">
        <v>1400</v>
      </c>
      <c r="AH49" s="3" t="s">
        <v>1402</v>
      </c>
      <c r="AI49" s="3">
        <v>365</v>
      </c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</row>
    <row r="50" spans="1:112" x14ac:dyDescent="0.25">
      <c r="A50" s="3">
        <v>108</v>
      </c>
      <c r="B50" s="4" t="s">
        <v>68</v>
      </c>
      <c r="C50" s="1" t="s">
        <v>231</v>
      </c>
      <c r="D50" s="5" t="s">
        <v>133</v>
      </c>
      <c r="E50" s="3" t="s">
        <v>301</v>
      </c>
      <c r="F50" s="5" t="s">
        <v>198</v>
      </c>
      <c r="G50" s="3"/>
      <c r="H50" s="3" t="s">
        <v>375</v>
      </c>
      <c r="I50" s="25" t="s">
        <v>520</v>
      </c>
      <c r="J50" s="3" t="s">
        <v>577</v>
      </c>
      <c r="K50" s="11">
        <v>37368</v>
      </c>
      <c r="L50" s="10">
        <v>45484</v>
      </c>
      <c r="M50" s="36"/>
      <c r="N50" s="3" t="s">
        <v>1082</v>
      </c>
      <c r="O50" s="3" t="s">
        <v>1095</v>
      </c>
      <c r="P50" s="3"/>
      <c r="Q50" s="39">
        <v>22448</v>
      </c>
      <c r="R50" s="39">
        <f t="shared" si="0"/>
        <v>738.01643835616437</v>
      </c>
      <c r="S50" s="39">
        <f t="shared" si="1"/>
        <v>92.252054794520546</v>
      </c>
      <c r="T50" s="3" t="s">
        <v>1106</v>
      </c>
      <c r="U50" s="1">
        <v>3532941906</v>
      </c>
      <c r="V50" s="1" t="s">
        <v>1170</v>
      </c>
      <c r="W50" s="1" t="s">
        <v>1253</v>
      </c>
      <c r="X50" s="1">
        <v>655312445</v>
      </c>
      <c r="Y50" s="3" t="s">
        <v>1307</v>
      </c>
      <c r="Z50" s="3"/>
      <c r="AA50" s="3"/>
      <c r="AB50" s="1" t="s">
        <v>1354</v>
      </c>
      <c r="AC50" s="41"/>
      <c r="AD50" s="41"/>
      <c r="AE50" s="3"/>
      <c r="AF50" s="3" t="s">
        <v>1397</v>
      </c>
      <c r="AG50" s="3" t="s">
        <v>1401</v>
      </c>
      <c r="AH50" s="3" t="s">
        <v>1402</v>
      </c>
      <c r="AI50" s="3">
        <v>365</v>
      </c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</row>
    <row r="51" spans="1:112" x14ac:dyDescent="0.25">
      <c r="A51" s="3">
        <v>73</v>
      </c>
      <c r="B51" s="4" t="s">
        <v>69</v>
      </c>
      <c r="C51" s="1" t="s">
        <v>231</v>
      </c>
      <c r="D51" s="5" t="s">
        <v>134</v>
      </c>
      <c r="E51" s="3" t="s">
        <v>302</v>
      </c>
      <c r="F51" s="5" t="s">
        <v>199</v>
      </c>
      <c r="G51" s="3"/>
      <c r="H51" s="3" t="s">
        <v>376</v>
      </c>
      <c r="I51" s="25" t="s">
        <v>521</v>
      </c>
      <c r="J51" s="3" t="s">
        <v>577</v>
      </c>
      <c r="K51" s="11">
        <v>36364</v>
      </c>
      <c r="L51" s="10">
        <v>45475</v>
      </c>
      <c r="M51" s="36"/>
      <c r="N51" s="3" t="s">
        <v>1082</v>
      </c>
      <c r="O51" s="3" t="s">
        <v>1085</v>
      </c>
      <c r="P51" s="3"/>
      <c r="Q51" s="39">
        <v>22328</v>
      </c>
      <c r="R51" s="39">
        <f t="shared" si="0"/>
        <v>734.07123287671232</v>
      </c>
      <c r="S51" s="39">
        <f t="shared" si="1"/>
        <v>91.758904109589039</v>
      </c>
      <c r="T51" s="3" t="s">
        <v>1106</v>
      </c>
      <c r="U51" s="1">
        <v>3526045635</v>
      </c>
      <c r="V51" s="1" t="s">
        <v>1171</v>
      </c>
      <c r="W51" s="1" t="s">
        <v>1254</v>
      </c>
      <c r="X51" s="1">
        <v>629560999</v>
      </c>
      <c r="Y51" s="3" t="s">
        <v>1307</v>
      </c>
      <c r="Z51" s="3"/>
      <c r="AA51" s="3"/>
      <c r="AB51" s="1" t="s">
        <v>1355</v>
      </c>
      <c r="AC51" s="41"/>
      <c r="AD51" s="41"/>
      <c r="AE51" s="3"/>
      <c r="AF51" s="3" t="s">
        <v>1397</v>
      </c>
      <c r="AG51" s="3" t="s">
        <v>1401</v>
      </c>
      <c r="AH51" s="3" t="s">
        <v>1402</v>
      </c>
      <c r="AI51" s="3">
        <v>365</v>
      </c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</row>
    <row r="52" spans="1:112" x14ac:dyDescent="0.25">
      <c r="A52" s="3">
        <v>191</v>
      </c>
      <c r="B52" s="4" t="s">
        <v>466</v>
      </c>
      <c r="C52" s="1"/>
      <c r="D52" s="5" t="s">
        <v>303</v>
      </c>
      <c r="E52" s="3" t="s">
        <v>304</v>
      </c>
      <c r="F52" s="5" t="s">
        <v>305</v>
      </c>
      <c r="G52" s="3"/>
      <c r="H52" s="3" t="s">
        <v>377</v>
      </c>
      <c r="I52" s="25" t="s">
        <v>522</v>
      </c>
      <c r="J52" s="3" t="s">
        <v>578</v>
      </c>
      <c r="K52" s="11">
        <v>37141</v>
      </c>
      <c r="L52" s="10">
        <v>46118</v>
      </c>
      <c r="M52" s="36"/>
      <c r="N52" s="3" t="s">
        <v>1082</v>
      </c>
      <c r="O52" s="3" t="s">
        <v>1089</v>
      </c>
      <c r="P52" s="3"/>
      <c r="Q52" s="39">
        <v>20007</v>
      </c>
      <c r="R52" s="39">
        <f t="shared" si="0"/>
        <v>657.76438356164385</v>
      </c>
      <c r="S52" s="39">
        <f t="shared" si="1"/>
        <v>82.220547945205482</v>
      </c>
      <c r="T52" s="3" t="s">
        <v>1106</v>
      </c>
      <c r="U52" s="1">
        <v>3495707902</v>
      </c>
      <c r="V52" s="1" t="s">
        <v>1172</v>
      </c>
      <c r="W52" s="1" t="s">
        <v>1255</v>
      </c>
      <c r="X52" s="1">
        <v>653707065</v>
      </c>
      <c r="Y52" s="3" t="s">
        <v>1307</v>
      </c>
      <c r="Z52" s="3"/>
      <c r="AA52" s="3"/>
      <c r="AB52" s="1" t="s">
        <v>1356</v>
      </c>
      <c r="AC52" s="41"/>
      <c r="AD52" s="41"/>
      <c r="AE52" s="3"/>
      <c r="AF52" s="3" t="s">
        <v>1397</v>
      </c>
      <c r="AG52" s="3" t="s">
        <v>1401</v>
      </c>
      <c r="AH52" s="3" t="s">
        <v>1402</v>
      </c>
      <c r="AI52" s="3">
        <v>365</v>
      </c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  <c r="CT52" s="3"/>
      <c r="CU52" s="3"/>
      <c r="CV52" s="3"/>
      <c r="CW52" s="3"/>
      <c r="CX52" s="3"/>
      <c r="CY52" s="3"/>
      <c r="CZ52" s="3"/>
      <c r="DA52" s="3"/>
      <c r="DB52" s="3"/>
      <c r="DC52" s="3"/>
      <c r="DD52" s="3"/>
      <c r="DE52" s="3"/>
      <c r="DF52" s="3"/>
      <c r="DG52" s="3"/>
      <c r="DH52" s="3"/>
    </row>
    <row r="53" spans="1:112" x14ac:dyDescent="0.25">
      <c r="A53" s="3">
        <v>56</v>
      </c>
      <c r="B53" s="4" t="s">
        <v>70</v>
      </c>
      <c r="C53" s="1" t="s">
        <v>231</v>
      </c>
      <c r="D53" s="5" t="s">
        <v>135</v>
      </c>
      <c r="E53" s="3" t="s">
        <v>306</v>
      </c>
      <c r="F53" s="5" t="s">
        <v>200</v>
      </c>
      <c r="G53" s="3"/>
      <c r="H53" s="3" t="s">
        <v>378</v>
      </c>
      <c r="I53" s="25" t="s">
        <v>523</v>
      </c>
      <c r="J53" s="3" t="s">
        <v>577</v>
      </c>
      <c r="K53" s="11">
        <v>35919</v>
      </c>
      <c r="L53" s="10">
        <v>45798</v>
      </c>
      <c r="M53" s="36"/>
      <c r="N53" s="3" t="s">
        <v>1082</v>
      </c>
      <c r="O53" s="3" t="s">
        <v>1104</v>
      </c>
      <c r="P53" s="3"/>
      <c r="Q53" s="39">
        <v>21257</v>
      </c>
      <c r="R53" s="39">
        <f t="shared" si="0"/>
        <v>698.86027397260273</v>
      </c>
      <c r="S53" s="39">
        <f t="shared" si="1"/>
        <v>87.357534246575341</v>
      </c>
      <c r="T53" s="3" t="s">
        <v>1106</v>
      </c>
      <c r="U53" s="1">
        <v>3477138379</v>
      </c>
      <c r="V53" s="1" t="s">
        <v>1173</v>
      </c>
      <c r="W53" s="1" t="s">
        <v>1256</v>
      </c>
      <c r="X53" s="1">
        <v>705004591</v>
      </c>
      <c r="Y53" s="3" t="s">
        <v>1307</v>
      </c>
      <c r="Z53" s="3"/>
      <c r="AA53" s="3"/>
      <c r="AB53" s="1" t="s">
        <v>1357</v>
      </c>
      <c r="AC53" s="41"/>
      <c r="AD53" s="41"/>
      <c r="AE53" s="3"/>
      <c r="AF53" s="3" t="s">
        <v>1397</v>
      </c>
      <c r="AG53" s="3" t="s">
        <v>1401</v>
      </c>
      <c r="AH53" s="3" t="s">
        <v>1402</v>
      </c>
      <c r="AI53" s="3">
        <v>365</v>
      </c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</row>
    <row r="54" spans="1:112" x14ac:dyDescent="0.25">
      <c r="A54" s="3">
        <v>66</v>
      </c>
      <c r="B54" s="4" t="s">
        <v>467</v>
      </c>
      <c r="C54" s="1"/>
      <c r="D54" s="5" t="s">
        <v>308</v>
      </c>
      <c r="E54" s="3" t="s">
        <v>309</v>
      </c>
      <c r="F54" s="5" t="s">
        <v>310</v>
      </c>
      <c r="G54" s="3"/>
      <c r="H54" s="3" t="s">
        <v>379</v>
      </c>
      <c r="I54" s="25" t="s">
        <v>524</v>
      </c>
      <c r="J54" s="3" t="s">
        <v>579</v>
      </c>
      <c r="K54" s="11">
        <v>37361</v>
      </c>
      <c r="L54" s="10">
        <v>46134</v>
      </c>
      <c r="M54" s="36"/>
      <c r="N54" s="3" t="s">
        <v>1082</v>
      </c>
      <c r="O54" s="3" t="s">
        <v>1092</v>
      </c>
      <c r="P54" s="3"/>
      <c r="Q54" s="39">
        <v>17529</v>
      </c>
      <c r="R54" s="39">
        <f t="shared" si="0"/>
        <v>576.29589041095892</v>
      </c>
      <c r="S54" s="39">
        <f t="shared" si="1"/>
        <v>72.036986301369865</v>
      </c>
      <c r="T54" s="3" t="s">
        <v>1106</v>
      </c>
      <c r="U54" s="1">
        <v>3481343082</v>
      </c>
      <c r="V54" s="1" t="s">
        <v>1174</v>
      </c>
      <c r="W54" s="1"/>
      <c r="X54" s="1"/>
      <c r="Y54" s="3" t="s">
        <v>1307</v>
      </c>
      <c r="Z54" s="3"/>
      <c r="AA54" s="3"/>
      <c r="AB54" s="1"/>
      <c r="AC54" s="41"/>
      <c r="AD54" s="41"/>
      <c r="AE54" s="3"/>
      <c r="AF54" s="3" t="s">
        <v>1397</v>
      </c>
      <c r="AG54" s="3" t="s">
        <v>1401</v>
      </c>
      <c r="AH54" s="3" t="s">
        <v>1403</v>
      </c>
      <c r="AI54" s="3">
        <v>365</v>
      </c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</row>
    <row r="55" spans="1:112" x14ac:dyDescent="0.25">
      <c r="A55" s="3">
        <v>43</v>
      </c>
      <c r="B55" s="4" t="s">
        <v>71</v>
      </c>
      <c r="C55" s="1" t="s">
        <v>231</v>
      </c>
      <c r="D55" s="5" t="s">
        <v>136</v>
      </c>
      <c r="E55" s="3" t="s">
        <v>307</v>
      </c>
      <c r="F55" s="5" t="s">
        <v>201</v>
      </c>
      <c r="G55" s="3"/>
      <c r="H55" s="3" t="s">
        <v>380</v>
      </c>
      <c r="I55" s="25" t="s">
        <v>488</v>
      </c>
      <c r="J55" s="3" t="s">
        <v>556</v>
      </c>
      <c r="K55" s="7">
        <v>24484</v>
      </c>
      <c r="L55" s="32">
        <v>34844</v>
      </c>
      <c r="M55" s="35">
        <v>35886</v>
      </c>
      <c r="N55" s="3" t="s">
        <v>1082</v>
      </c>
      <c r="O55" s="3" t="s">
        <v>1089</v>
      </c>
      <c r="P55" s="3"/>
      <c r="Q55" s="39">
        <v>41496</v>
      </c>
      <c r="R55" s="39">
        <f t="shared" si="0"/>
        <v>1364.2520547945205</v>
      </c>
      <c r="S55" s="39">
        <f t="shared" si="1"/>
        <v>170.53150684931506</v>
      </c>
      <c r="T55" s="3" t="s">
        <v>1106</v>
      </c>
      <c r="U55" s="1" t="s">
        <v>1121</v>
      </c>
      <c r="V55" s="1" t="s">
        <v>1175</v>
      </c>
      <c r="W55" s="1" t="s">
        <v>1257</v>
      </c>
      <c r="X55" s="1" t="s">
        <v>1296</v>
      </c>
      <c r="Y55" s="3" t="s">
        <v>1307</v>
      </c>
      <c r="Z55" s="3"/>
      <c r="AA55" s="3"/>
      <c r="AB55" s="1" t="s">
        <v>1358</v>
      </c>
      <c r="AC55" s="41"/>
      <c r="AD55" s="41"/>
      <c r="AE55" s="3"/>
      <c r="AF55" s="3" t="s">
        <v>1396</v>
      </c>
      <c r="AG55" s="3" t="s">
        <v>1400</v>
      </c>
      <c r="AH55" s="3" t="s">
        <v>1402</v>
      </c>
      <c r="AI55" s="3">
        <v>365</v>
      </c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</row>
    <row r="56" spans="1:112" x14ac:dyDescent="0.25">
      <c r="A56" s="3">
        <v>158</v>
      </c>
      <c r="B56" s="8" t="s">
        <v>72</v>
      </c>
      <c r="C56" s="1" t="s">
        <v>231</v>
      </c>
      <c r="D56" s="5" t="s">
        <v>137</v>
      </c>
      <c r="E56" s="5" t="s">
        <v>202</v>
      </c>
      <c r="F56" s="5" t="s">
        <v>232</v>
      </c>
      <c r="G56" s="3"/>
      <c r="H56" s="3" t="s">
        <v>381</v>
      </c>
      <c r="I56" s="25" t="s">
        <v>525</v>
      </c>
      <c r="J56" s="3" t="s">
        <v>556</v>
      </c>
      <c r="K56" s="9">
        <v>35316</v>
      </c>
      <c r="L56" s="32">
        <v>45180</v>
      </c>
      <c r="M56" s="35">
        <v>46276</v>
      </c>
      <c r="N56" s="3" t="s">
        <v>1082</v>
      </c>
      <c r="O56" s="3" t="s">
        <v>1104</v>
      </c>
      <c r="P56" s="3"/>
      <c r="Q56" s="39">
        <v>27166</v>
      </c>
      <c r="R56" s="39">
        <f t="shared" si="0"/>
        <v>893.12876712328762</v>
      </c>
      <c r="S56" s="39">
        <f t="shared" si="1"/>
        <v>111.64109589041095</v>
      </c>
      <c r="T56" s="3" t="s">
        <v>1105</v>
      </c>
      <c r="U56" s="1" t="s">
        <v>1122</v>
      </c>
      <c r="V56" s="1" t="s">
        <v>1176</v>
      </c>
      <c r="W56" s="1" t="s">
        <v>1258</v>
      </c>
      <c r="X56" s="1">
        <v>616457369</v>
      </c>
      <c r="Y56" s="3" t="s">
        <v>1307</v>
      </c>
      <c r="Z56" s="3"/>
      <c r="AA56" s="3"/>
      <c r="AB56" s="1" t="s">
        <v>1359</v>
      </c>
      <c r="AC56" s="41"/>
      <c r="AD56" s="41"/>
      <c r="AE56" s="3"/>
      <c r="AF56" s="3" t="s">
        <v>1396</v>
      </c>
      <c r="AG56" s="3" t="s">
        <v>1400</v>
      </c>
      <c r="AH56" s="3" t="s">
        <v>1402</v>
      </c>
      <c r="AI56" s="3">
        <v>365</v>
      </c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</row>
    <row r="57" spans="1:112" x14ac:dyDescent="0.25">
      <c r="A57" s="3">
        <v>110</v>
      </c>
      <c r="B57" s="4" t="s">
        <v>73</v>
      </c>
      <c r="C57" s="1" t="s">
        <v>231</v>
      </c>
      <c r="D57" s="5" t="s">
        <v>138</v>
      </c>
      <c r="E57" s="3" t="s">
        <v>311</v>
      </c>
      <c r="F57" s="5" t="s">
        <v>204</v>
      </c>
      <c r="G57" s="3"/>
      <c r="H57" s="3" t="s">
        <v>382</v>
      </c>
      <c r="I57" s="25" t="s">
        <v>526</v>
      </c>
      <c r="J57" s="3" t="s">
        <v>556</v>
      </c>
      <c r="K57" s="11">
        <v>30117</v>
      </c>
      <c r="L57" s="32">
        <v>41337</v>
      </c>
      <c r="M57" s="35">
        <v>42461</v>
      </c>
      <c r="N57" s="3" t="s">
        <v>1082</v>
      </c>
      <c r="O57" s="3" t="s">
        <v>1103</v>
      </c>
      <c r="P57" s="3"/>
      <c r="Q57" s="39">
        <v>33687</v>
      </c>
      <c r="R57" s="39">
        <f t="shared" si="0"/>
        <v>1107.5178082191781</v>
      </c>
      <c r="S57" s="39">
        <f t="shared" si="1"/>
        <v>138.43972602739726</v>
      </c>
      <c r="T57" s="3" t="s">
        <v>1105</v>
      </c>
      <c r="U57" s="1">
        <v>3386229557</v>
      </c>
      <c r="V57" s="1" t="s">
        <v>1177</v>
      </c>
      <c r="W57" s="1" t="s">
        <v>1259</v>
      </c>
      <c r="X57" s="1" t="s">
        <v>1297</v>
      </c>
      <c r="Y57" s="3" t="s">
        <v>1307</v>
      </c>
      <c r="Z57" s="3"/>
      <c r="AA57" s="3"/>
      <c r="AB57" s="1" t="s">
        <v>1360</v>
      </c>
      <c r="AC57" s="41"/>
      <c r="AD57" s="41"/>
      <c r="AE57" s="3"/>
      <c r="AF57" s="3" t="s">
        <v>1396</v>
      </c>
      <c r="AG57" s="3" t="s">
        <v>1400</v>
      </c>
      <c r="AH57" s="3" t="s">
        <v>1402</v>
      </c>
      <c r="AI57" s="3">
        <v>365</v>
      </c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</row>
    <row r="58" spans="1:112" x14ac:dyDescent="0.25">
      <c r="A58" s="3">
        <v>162</v>
      </c>
      <c r="B58" s="4" t="s">
        <v>468</v>
      </c>
      <c r="C58" s="1"/>
      <c r="D58" s="5" t="s">
        <v>317</v>
      </c>
      <c r="E58" s="3" t="s">
        <v>314</v>
      </c>
      <c r="F58" s="5" t="s">
        <v>318</v>
      </c>
      <c r="G58" s="3"/>
      <c r="H58" s="3" t="s">
        <v>383</v>
      </c>
      <c r="I58" s="25" t="s">
        <v>527</v>
      </c>
      <c r="J58" s="3" t="s">
        <v>571</v>
      </c>
      <c r="K58" s="11">
        <v>37156</v>
      </c>
      <c r="L58" s="10">
        <v>46160</v>
      </c>
      <c r="M58" s="36"/>
      <c r="N58" s="3" t="s">
        <v>1082</v>
      </c>
      <c r="O58" s="3" t="s">
        <v>1085</v>
      </c>
      <c r="P58" s="3"/>
      <c r="Q58" s="39">
        <v>20007</v>
      </c>
      <c r="R58" s="39">
        <f t="shared" si="0"/>
        <v>657.76438356164385</v>
      </c>
      <c r="S58" s="39">
        <f t="shared" si="1"/>
        <v>82.220547945205482</v>
      </c>
      <c r="T58" s="3" t="s">
        <v>1106</v>
      </c>
      <c r="U58" s="1">
        <v>3506635484</v>
      </c>
      <c r="V58" s="1" t="s">
        <v>1178</v>
      </c>
      <c r="W58" s="1" t="s">
        <v>1260</v>
      </c>
      <c r="X58" s="1">
        <v>691847159</v>
      </c>
      <c r="Y58" s="3" t="s">
        <v>1307</v>
      </c>
      <c r="Z58" s="3"/>
      <c r="AA58" s="3"/>
      <c r="AB58" s="1" t="s">
        <v>1361</v>
      </c>
      <c r="AC58" s="41"/>
      <c r="AD58" s="41"/>
      <c r="AE58" s="3"/>
      <c r="AF58" s="3" t="s">
        <v>1397</v>
      </c>
      <c r="AG58" s="3" t="s">
        <v>1401</v>
      </c>
      <c r="AH58" s="3" t="s">
        <v>1402</v>
      </c>
      <c r="AI58" s="3">
        <v>365</v>
      </c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</row>
    <row r="59" spans="1:112" x14ac:dyDescent="0.25">
      <c r="A59" s="3">
        <v>134</v>
      </c>
      <c r="B59" s="4" t="s">
        <v>469</v>
      </c>
      <c r="C59" s="1"/>
      <c r="D59" s="5" t="s">
        <v>313</v>
      </c>
      <c r="E59" s="3" t="s">
        <v>314</v>
      </c>
      <c r="F59" s="5" t="s">
        <v>315</v>
      </c>
      <c r="G59" s="3" t="s">
        <v>316</v>
      </c>
      <c r="H59" s="3" t="s">
        <v>384</v>
      </c>
      <c r="I59" s="25" t="s">
        <v>528</v>
      </c>
      <c r="J59" s="3" t="s">
        <v>580</v>
      </c>
      <c r="K59" s="11">
        <v>37131</v>
      </c>
      <c r="L59" s="10">
        <v>46118</v>
      </c>
      <c r="M59" s="36"/>
      <c r="N59" s="3" t="s">
        <v>1082</v>
      </c>
      <c r="O59" s="3" t="s">
        <v>1089</v>
      </c>
      <c r="P59" s="3"/>
      <c r="Q59" s="39">
        <v>20107</v>
      </c>
      <c r="R59" s="39">
        <f t="shared" si="0"/>
        <v>661.05205479452059</v>
      </c>
      <c r="S59" s="39">
        <f t="shared" si="1"/>
        <v>82.631506849315073</v>
      </c>
      <c r="T59" s="3" t="s">
        <v>1106</v>
      </c>
      <c r="U59" s="1">
        <v>3491282984</v>
      </c>
      <c r="V59" s="1" t="s">
        <v>1179</v>
      </c>
      <c r="W59" s="1" t="s">
        <v>1261</v>
      </c>
      <c r="X59" s="1">
        <v>396836445</v>
      </c>
      <c r="Y59" s="3" t="s">
        <v>1307</v>
      </c>
      <c r="Z59" s="3"/>
      <c r="AA59" s="3"/>
      <c r="AB59" s="1" t="s">
        <v>1362</v>
      </c>
      <c r="AC59" s="41"/>
      <c r="AD59" s="41"/>
      <c r="AE59" s="3"/>
      <c r="AF59" s="3" t="s">
        <v>1397</v>
      </c>
      <c r="AG59" s="3" t="s">
        <v>1401</v>
      </c>
      <c r="AH59" s="3" t="s">
        <v>1402</v>
      </c>
      <c r="AI59" s="3">
        <v>365</v>
      </c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</row>
    <row r="60" spans="1:112" x14ac:dyDescent="0.25">
      <c r="A60" s="3">
        <v>132</v>
      </c>
      <c r="B60" s="8" t="s">
        <v>74</v>
      </c>
      <c r="C60" s="1" t="s">
        <v>231</v>
      </c>
      <c r="D60" s="5" t="s">
        <v>139</v>
      </c>
      <c r="E60" s="3" t="s">
        <v>312</v>
      </c>
      <c r="F60" s="5" t="s">
        <v>205</v>
      </c>
      <c r="G60" s="3"/>
      <c r="H60" s="3" t="s">
        <v>385</v>
      </c>
      <c r="I60" s="25" t="s">
        <v>529</v>
      </c>
      <c r="J60" s="3" t="s">
        <v>556</v>
      </c>
      <c r="K60" s="9">
        <v>36800</v>
      </c>
      <c r="L60" s="32">
        <v>45139</v>
      </c>
      <c r="M60" s="35">
        <v>46235</v>
      </c>
      <c r="N60" s="3" t="s">
        <v>1082</v>
      </c>
      <c r="O60" s="3" t="s">
        <v>1091</v>
      </c>
      <c r="P60" s="3"/>
      <c r="Q60" s="39">
        <v>28059</v>
      </c>
      <c r="R60" s="39">
        <f t="shared" si="0"/>
        <v>922.48767123287666</v>
      </c>
      <c r="S60" s="39">
        <f t="shared" si="1"/>
        <v>115.31095890410958</v>
      </c>
      <c r="T60" s="3" t="s">
        <v>1106</v>
      </c>
      <c r="U60" s="1">
        <v>3484122789</v>
      </c>
      <c r="V60" s="1" t="s">
        <v>1180</v>
      </c>
      <c r="W60" s="1" t="s">
        <v>1262</v>
      </c>
      <c r="X60" s="1"/>
      <c r="Y60" s="3" t="s">
        <v>1307</v>
      </c>
      <c r="Z60" s="3"/>
      <c r="AA60" s="3"/>
      <c r="AB60" s="1" t="s">
        <v>1363</v>
      </c>
      <c r="AC60" s="41"/>
      <c r="AD60" s="41"/>
      <c r="AE60" s="3"/>
      <c r="AF60" s="3" t="s">
        <v>1396</v>
      </c>
      <c r="AG60" s="3" t="s">
        <v>1400</v>
      </c>
      <c r="AH60" s="3" t="s">
        <v>1402</v>
      </c>
      <c r="AI60" s="3">
        <v>365</v>
      </c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</row>
    <row r="61" spans="1:112" x14ac:dyDescent="0.25">
      <c r="A61" s="3">
        <v>48</v>
      </c>
      <c r="B61" s="4" t="s">
        <v>75</v>
      </c>
      <c r="C61" s="1" t="s">
        <v>231</v>
      </c>
      <c r="D61" s="5" t="s">
        <v>140</v>
      </c>
      <c r="E61" s="3" t="s">
        <v>319</v>
      </c>
      <c r="F61" s="5" t="s">
        <v>206</v>
      </c>
      <c r="G61" s="3"/>
      <c r="H61" s="3" t="s">
        <v>386</v>
      </c>
      <c r="I61" s="25" t="s">
        <v>530</v>
      </c>
      <c r="J61" s="3" t="s">
        <v>556</v>
      </c>
      <c r="K61" s="11">
        <v>27685</v>
      </c>
      <c r="L61" s="32">
        <v>41687</v>
      </c>
      <c r="M61" s="35">
        <v>42826</v>
      </c>
      <c r="N61" s="3" t="s">
        <v>1082</v>
      </c>
      <c r="O61" s="3" t="s">
        <v>1093</v>
      </c>
      <c r="P61" s="3"/>
      <c r="Q61" s="39">
        <v>35642</v>
      </c>
      <c r="R61" s="39">
        <f t="shared" si="0"/>
        <v>1171.7917808219179</v>
      </c>
      <c r="S61" s="39">
        <f t="shared" si="1"/>
        <v>146.47397260273974</v>
      </c>
      <c r="T61" s="3" t="s">
        <v>1105</v>
      </c>
      <c r="U61" s="1" t="s">
        <v>1123</v>
      </c>
      <c r="V61" s="1" t="s">
        <v>1181</v>
      </c>
      <c r="W61" s="1" t="s">
        <v>1263</v>
      </c>
      <c r="X61" s="1" t="s">
        <v>1298</v>
      </c>
      <c r="Y61" s="3" t="s">
        <v>1307</v>
      </c>
      <c r="Z61" s="3"/>
      <c r="AA61" s="3"/>
      <c r="AB61" s="1" t="s">
        <v>1364</v>
      </c>
      <c r="AC61" s="41"/>
      <c r="AD61" s="41"/>
      <c r="AE61" s="3"/>
      <c r="AF61" s="3" t="s">
        <v>1396</v>
      </c>
      <c r="AG61" s="3" t="s">
        <v>1400</v>
      </c>
      <c r="AH61" s="3" t="s">
        <v>1402</v>
      </c>
      <c r="AI61" s="3">
        <v>365</v>
      </c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</row>
    <row r="62" spans="1:112" x14ac:dyDescent="0.25">
      <c r="A62" s="3">
        <v>52</v>
      </c>
      <c r="B62" s="4" t="s">
        <v>76</v>
      </c>
      <c r="C62" s="1" t="s">
        <v>231</v>
      </c>
      <c r="D62" s="5" t="s">
        <v>141</v>
      </c>
      <c r="E62" s="3" t="s">
        <v>279</v>
      </c>
      <c r="F62" s="5" t="s">
        <v>207</v>
      </c>
      <c r="G62" s="3"/>
      <c r="H62" s="3" t="s">
        <v>387</v>
      </c>
      <c r="I62" s="25" t="s">
        <v>531</v>
      </c>
      <c r="J62" s="3" t="s">
        <v>580</v>
      </c>
      <c r="K62" s="11">
        <v>35644</v>
      </c>
      <c r="L62" s="10">
        <v>45874</v>
      </c>
      <c r="M62" s="36"/>
      <c r="N62" s="3" t="s">
        <v>1082</v>
      </c>
      <c r="O62" s="3" t="s">
        <v>1097</v>
      </c>
      <c r="P62" s="3"/>
      <c r="Q62" s="39">
        <v>21307</v>
      </c>
      <c r="R62" s="39">
        <f t="shared" si="0"/>
        <v>700.50410958904115</v>
      </c>
      <c r="S62" s="39">
        <f t="shared" si="1"/>
        <v>87.563013698630144</v>
      </c>
      <c r="T62" s="3" t="s">
        <v>1106</v>
      </c>
      <c r="U62" s="1">
        <v>3475182563</v>
      </c>
      <c r="V62" s="1" t="s">
        <v>1182</v>
      </c>
      <c r="W62" s="1" t="s">
        <v>1264</v>
      </c>
      <c r="X62" s="1">
        <v>720529293</v>
      </c>
      <c r="Y62" s="3" t="s">
        <v>1307</v>
      </c>
      <c r="Z62" s="3"/>
      <c r="AA62" s="3"/>
      <c r="AB62" s="1" t="s">
        <v>1365</v>
      </c>
      <c r="AC62" s="41"/>
      <c r="AD62" s="41"/>
      <c r="AE62" s="3"/>
      <c r="AF62" s="3" t="s">
        <v>1397</v>
      </c>
      <c r="AG62" s="3" t="s">
        <v>1401</v>
      </c>
      <c r="AH62" s="3" t="s">
        <v>1402</v>
      </c>
      <c r="AI62" s="3">
        <v>365</v>
      </c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</row>
    <row r="63" spans="1:112" x14ac:dyDescent="0.25">
      <c r="A63" s="3">
        <v>164</v>
      </c>
      <c r="B63" s="8" t="s">
        <v>77</v>
      </c>
      <c r="C63" s="1" t="s">
        <v>231</v>
      </c>
      <c r="D63" s="5" t="s">
        <v>142</v>
      </c>
      <c r="E63" s="3" t="s">
        <v>320</v>
      </c>
      <c r="F63" s="5" t="s">
        <v>208</v>
      </c>
      <c r="G63" s="3"/>
      <c r="H63" s="3" t="s">
        <v>388</v>
      </c>
      <c r="I63" s="25" t="s">
        <v>532</v>
      </c>
      <c r="J63" s="3" t="s">
        <v>561</v>
      </c>
      <c r="K63" s="9">
        <v>36027</v>
      </c>
      <c r="L63" s="32">
        <v>45196</v>
      </c>
      <c r="M63" s="35">
        <v>46292</v>
      </c>
      <c r="N63" s="3" t="s">
        <v>1082</v>
      </c>
      <c r="O63" s="3" t="s">
        <v>1098</v>
      </c>
      <c r="P63" s="3"/>
      <c r="Q63" s="39">
        <v>27166</v>
      </c>
      <c r="R63" s="39">
        <f t="shared" si="0"/>
        <v>893.12876712328762</v>
      </c>
      <c r="S63" s="39">
        <f t="shared" si="1"/>
        <v>111.64109589041095</v>
      </c>
      <c r="T63" s="3" t="s">
        <v>1106</v>
      </c>
      <c r="U63" s="1">
        <v>3483243106</v>
      </c>
      <c r="V63" s="1" t="s">
        <v>1183</v>
      </c>
      <c r="W63" s="1" t="s">
        <v>1265</v>
      </c>
      <c r="X63" s="1">
        <v>357960696</v>
      </c>
      <c r="Y63" s="3" t="s">
        <v>1307</v>
      </c>
      <c r="Z63" s="3"/>
      <c r="AA63" s="3"/>
      <c r="AB63" s="1" t="s">
        <v>1366</v>
      </c>
      <c r="AC63" s="41"/>
      <c r="AD63" s="41"/>
      <c r="AE63" s="3"/>
      <c r="AF63" s="3" t="s">
        <v>1396</v>
      </c>
      <c r="AG63" s="3" t="s">
        <v>1400</v>
      </c>
      <c r="AH63" s="3" t="s">
        <v>1402</v>
      </c>
      <c r="AI63" s="3">
        <v>365</v>
      </c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</row>
    <row r="64" spans="1:112" x14ac:dyDescent="0.25">
      <c r="A64" s="3">
        <v>85</v>
      </c>
      <c r="B64" s="8" t="s">
        <v>470</v>
      </c>
      <c r="C64" s="1"/>
      <c r="D64" s="5" t="s">
        <v>321</v>
      </c>
      <c r="E64" s="3" t="s">
        <v>452</v>
      </c>
      <c r="F64" s="5" t="s">
        <v>322</v>
      </c>
      <c r="G64" s="3"/>
      <c r="H64" s="3" t="s">
        <v>555</v>
      </c>
      <c r="I64" s="25" t="s">
        <v>533</v>
      </c>
      <c r="J64" s="3" t="s">
        <v>572</v>
      </c>
      <c r="K64" s="9">
        <v>37442</v>
      </c>
      <c r="L64" s="10">
        <v>46175</v>
      </c>
      <c r="M64" s="36"/>
      <c r="N64" s="3" t="s">
        <v>1082</v>
      </c>
      <c r="O64" s="3" t="s">
        <v>1097</v>
      </c>
      <c r="P64" s="3"/>
      <c r="Q64" s="39">
        <v>20107</v>
      </c>
      <c r="R64" s="39">
        <f t="shared" si="0"/>
        <v>661.05205479452059</v>
      </c>
      <c r="S64" s="39">
        <f t="shared" si="1"/>
        <v>82.631506849315073</v>
      </c>
      <c r="T64" s="3" t="s">
        <v>1106</v>
      </c>
      <c r="U64" s="1">
        <v>3492115144</v>
      </c>
      <c r="V64" s="1" t="s">
        <v>1184</v>
      </c>
      <c r="W64" s="1" t="s">
        <v>1266</v>
      </c>
      <c r="X64" s="1"/>
      <c r="Y64" s="3" t="s">
        <v>1307</v>
      </c>
      <c r="Z64" s="3"/>
      <c r="AA64" s="3"/>
      <c r="AB64" s="1" t="s">
        <v>1367</v>
      </c>
      <c r="AC64" s="41"/>
      <c r="AD64" s="41"/>
      <c r="AE64" s="3"/>
      <c r="AF64" s="3" t="s">
        <v>1397</v>
      </c>
      <c r="AG64" s="3" t="s">
        <v>1401</v>
      </c>
      <c r="AH64" s="3" t="s">
        <v>1402</v>
      </c>
      <c r="AI64" s="3">
        <v>365</v>
      </c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</row>
    <row r="65" spans="1:112" x14ac:dyDescent="0.25">
      <c r="A65" s="3">
        <v>148</v>
      </c>
      <c r="B65" s="8" t="s">
        <v>471</v>
      </c>
      <c r="C65" s="1"/>
      <c r="D65" s="5" t="s">
        <v>323</v>
      </c>
      <c r="E65" s="3" t="s">
        <v>324</v>
      </c>
      <c r="F65" s="5" t="s">
        <v>325</v>
      </c>
      <c r="G65" s="3"/>
      <c r="H65" s="3" t="s">
        <v>389</v>
      </c>
      <c r="I65" s="25" t="s">
        <v>581</v>
      </c>
      <c r="J65" s="3" t="s">
        <v>561</v>
      </c>
      <c r="K65" s="9">
        <v>35496</v>
      </c>
      <c r="L65" s="10">
        <v>46198</v>
      </c>
      <c r="M65" s="36"/>
      <c r="N65" s="3" t="s">
        <v>1082</v>
      </c>
      <c r="O65" s="3" t="s">
        <v>1090</v>
      </c>
      <c r="P65" s="3"/>
      <c r="Q65" s="39">
        <v>20157</v>
      </c>
      <c r="R65" s="39">
        <f t="shared" si="0"/>
        <v>662.6958904109589</v>
      </c>
      <c r="S65" s="39">
        <f t="shared" si="1"/>
        <v>82.836986301369862</v>
      </c>
      <c r="T65" s="3" t="s">
        <v>1106</v>
      </c>
      <c r="U65" s="1">
        <v>3467126854</v>
      </c>
      <c r="V65" s="1" t="s">
        <v>1185</v>
      </c>
      <c r="W65" s="1" t="s">
        <v>1267</v>
      </c>
      <c r="X65" s="1">
        <v>364683579</v>
      </c>
      <c r="Y65" s="3" t="s">
        <v>1307</v>
      </c>
      <c r="Z65" s="3"/>
      <c r="AA65" s="3"/>
      <c r="AB65" s="1" t="s">
        <v>1368</v>
      </c>
      <c r="AC65" s="41"/>
      <c r="AD65" s="41"/>
      <c r="AE65" s="3"/>
      <c r="AF65" s="3" t="s">
        <v>1397</v>
      </c>
      <c r="AG65" s="3" t="s">
        <v>1401</v>
      </c>
      <c r="AH65" s="3" t="s">
        <v>1402</v>
      </c>
      <c r="AI65" s="3">
        <v>365</v>
      </c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</row>
    <row r="66" spans="1:112" x14ac:dyDescent="0.25">
      <c r="A66" s="3">
        <v>142</v>
      </c>
      <c r="B66" s="8" t="s">
        <v>472</v>
      </c>
      <c r="C66" s="1"/>
      <c r="D66" s="5" t="s">
        <v>326</v>
      </c>
      <c r="E66" s="3" t="s">
        <v>327</v>
      </c>
      <c r="F66" s="5" t="s">
        <v>328</v>
      </c>
      <c r="G66" s="3"/>
      <c r="H66" s="3" t="s">
        <v>390</v>
      </c>
      <c r="I66" s="25" t="s">
        <v>534</v>
      </c>
      <c r="J66" s="3" t="s">
        <v>561</v>
      </c>
      <c r="K66" s="9">
        <v>37156</v>
      </c>
      <c r="L66" s="10">
        <v>46167</v>
      </c>
      <c r="M66" s="36"/>
      <c r="N66" s="3" t="s">
        <v>1082</v>
      </c>
      <c r="O66" s="3" t="s">
        <v>1104</v>
      </c>
      <c r="P66" s="3"/>
      <c r="Q66" s="39">
        <v>20057</v>
      </c>
      <c r="R66" s="39">
        <f t="shared" si="0"/>
        <v>659.40821917808216</v>
      </c>
      <c r="S66" s="39">
        <f t="shared" si="1"/>
        <v>82.42602739726027</v>
      </c>
      <c r="T66" s="3" t="s">
        <v>1106</v>
      </c>
      <c r="U66" s="1">
        <v>3505254125</v>
      </c>
      <c r="V66" s="1" t="s">
        <v>1186</v>
      </c>
      <c r="W66" s="1" t="s">
        <v>1268</v>
      </c>
      <c r="X66" s="1">
        <v>642868138</v>
      </c>
      <c r="Y66" s="3" t="s">
        <v>1307</v>
      </c>
      <c r="Z66" s="3"/>
      <c r="AA66" s="3"/>
      <c r="AB66" s="1" t="s">
        <v>1369</v>
      </c>
      <c r="AC66" s="41"/>
      <c r="AD66" s="41"/>
      <c r="AE66" s="3"/>
      <c r="AF66" s="3" t="s">
        <v>1397</v>
      </c>
      <c r="AG66" s="3" t="s">
        <v>1401</v>
      </c>
      <c r="AH66" s="3" t="s">
        <v>1402</v>
      </c>
      <c r="AI66" s="3">
        <v>365</v>
      </c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</row>
    <row r="67" spans="1:112" x14ac:dyDescent="0.25">
      <c r="A67" s="3">
        <v>186</v>
      </c>
      <c r="B67" s="8" t="s">
        <v>78</v>
      </c>
      <c r="C67" s="1" t="s">
        <v>231</v>
      </c>
      <c r="D67" s="5" t="s">
        <v>143</v>
      </c>
      <c r="E67" s="3" t="s">
        <v>393</v>
      </c>
      <c r="F67" s="5" t="s">
        <v>209</v>
      </c>
      <c r="G67" s="3"/>
      <c r="H67" s="3" t="s">
        <v>423</v>
      </c>
      <c r="I67" s="25" t="s">
        <v>535</v>
      </c>
      <c r="J67" s="3" t="s">
        <v>556</v>
      </c>
      <c r="K67" s="9">
        <v>37017</v>
      </c>
      <c r="L67" s="10">
        <v>45866</v>
      </c>
      <c r="M67" s="36"/>
      <c r="N67" s="3" t="s">
        <v>1082</v>
      </c>
      <c r="O67" s="3" t="s">
        <v>1104</v>
      </c>
      <c r="P67" s="3"/>
      <c r="Q67" s="39">
        <v>21107</v>
      </c>
      <c r="R67" s="39">
        <f t="shared" si="0"/>
        <v>693.92876712328768</v>
      </c>
      <c r="S67" s="39">
        <f t="shared" si="1"/>
        <v>86.741095890410961</v>
      </c>
      <c r="T67" s="3" t="s">
        <v>1106</v>
      </c>
      <c r="U67" s="1">
        <v>3484085910</v>
      </c>
      <c r="V67" s="1" t="s">
        <v>1187</v>
      </c>
      <c r="W67" s="1" t="s">
        <v>1269</v>
      </c>
      <c r="X67" s="1">
        <v>506132218</v>
      </c>
      <c r="Y67" s="3" t="s">
        <v>1307</v>
      </c>
      <c r="Z67" s="3"/>
      <c r="AA67" s="3"/>
      <c r="AB67" s="1" t="s">
        <v>1370</v>
      </c>
      <c r="AC67" s="41"/>
      <c r="AD67" s="41"/>
      <c r="AE67" s="3"/>
      <c r="AF67" s="3" t="s">
        <v>1397</v>
      </c>
      <c r="AG67" s="3" t="s">
        <v>1401</v>
      </c>
      <c r="AH67" s="3" t="s">
        <v>1402</v>
      </c>
      <c r="AI67" s="3">
        <v>365</v>
      </c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</row>
    <row r="68" spans="1:112" x14ac:dyDescent="0.25">
      <c r="A68" s="3">
        <v>70</v>
      </c>
      <c r="B68" s="4" t="s">
        <v>79</v>
      </c>
      <c r="C68" s="1" t="s">
        <v>231</v>
      </c>
      <c r="D68" s="5" t="s">
        <v>144</v>
      </c>
      <c r="E68" s="3" t="s">
        <v>394</v>
      </c>
      <c r="F68" s="5" t="s">
        <v>210</v>
      </c>
      <c r="G68" s="3"/>
      <c r="H68" s="3" t="s">
        <v>424</v>
      </c>
      <c r="I68" s="25" t="s">
        <v>536</v>
      </c>
      <c r="J68" s="3" t="s">
        <v>556</v>
      </c>
      <c r="K68" s="6">
        <v>29769</v>
      </c>
      <c r="L68" s="10">
        <v>41760</v>
      </c>
      <c r="M68" s="3"/>
      <c r="N68" s="3" t="s">
        <v>1082</v>
      </c>
      <c r="O68" s="3" t="s">
        <v>1104</v>
      </c>
      <c r="P68" s="3"/>
      <c r="Q68" s="39">
        <v>26733</v>
      </c>
      <c r="R68" s="39">
        <f t="shared" ref="R68:R107" si="2">+Q68*12/365</f>
        <v>878.89315068493147</v>
      </c>
      <c r="S68" s="39">
        <f t="shared" ref="S68:S107" si="3">+R68/8</f>
        <v>109.86164383561643</v>
      </c>
      <c r="T68" s="3" t="s">
        <v>1105</v>
      </c>
      <c r="U68" s="1">
        <v>3356241109</v>
      </c>
      <c r="V68" s="1" t="s">
        <v>1188</v>
      </c>
      <c r="W68" s="1" t="s">
        <v>1270</v>
      </c>
      <c r="X68" s="1" t="s">
        <v>1299</v>
      </c>
      <c r="Y68" s="3" t="s">
        <v>1307</v>
      </c>
      <c r="Z68" s="3"/>
      <c r="AA68" s="3"/>
      <c r="AB68" s="1" t="s">
        <v>1371</v>
      </c>
      <c r="AC68" s="41"/>
      <c r="AD68" s="41"/>
      <c r="AE68" s="3"/>
      <c r="AF68" s="3" t="s">
        <v>1397</v>
      </c>
      <c r="AG68" s="3" t="s">
        <v>1401</v>
      </c>
      <c r="AH68" s="3" t="s">
        <v>1403</v>
      </c>
      <c r="AI68" s="3">
        <v>365</v>
      </c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</row>
    <row r="69" spans="1:112" x14ac:dyDescent="0.25">
      <c r="A69" s="3">
        <v>72</v>
      </c>
      <c r="B69" s="4" t="s">
        <v>80</v>
      </c>
      <c r="C69" s="1" t="s">
        <v>231</v>
      </c>
      <c r="D69" s="5" t="s">
        <v>145</v>
      </c>
      <c r="E69" s="3" t="s">
        <v>395</v>
      </c>
      <c r="F69" s="5" t="s">
        <v>211</v>
      </c>
      <c r="G69" s="3"/>
      <c r="H69" s="3" t="s">
        <v>425</v>
      </c>
      <c r="I69" s="25" t="s">
        <v>488</v>
      </c>
      <c r="J69" s="3" t="s">
        <v>556</v>
      </c>
      <c r="K69" s="7">
        <v>26645</v>
      </c>
      <c r="L69" s="32">
        <v>37774</v>
      </c>
      <c r="M69" s="35">
        <v>39904</v>
      </c>
      <c r="N69" s="3" t="s">
        <v>1082</v>
      </c>
      <c r="O69" s="3" t="s">
        <v>1104</v>
      </c>
      <c r="P69" s="3"/>
      <c r="Q69" s="39">
        <v>36296</v>
      </c>
      <c r="R69" s="39">
        <f t="shared" si="2"/>
        <v>1193.2931506849316</v>
      </c>
      <c r="S69" s="39">
        <f t="shared" si="3"/>
        <v>149.16164383561645</v>
      </c>
      <c r="T69" s="3" t="s">
        <v>1105</v>
      </c>
      <c r="U69" s="1" t="s">
        <v>1124</v>
      </c>
      <c r="V69" s="1" t="s">
        <v>1189</v>
      </c>
      <c r="W69" s="1" t="s">
        <v>1271</v>
      </c>
      <c r="X69" s="1" t="s">
        <v>1300</v>
      </c>
      <c r="Y69" s="3" t="s">
        <v>1307</v>
      </c>
      <c r="Z69" s="3"/>
      <c r="AA69" s="3"/>
      <c r="AB69" s="1" t="s">
        <v>1372</v>
      </c>
      <c r="AC69" s="41"/>
      <c r="AD69" s="41"/>
      <c r="AE69" s="3"/>
      <c r="AF69" s="3" t="s">
        <v>1396</v>
      </c>
      <c r="AG69" s="3" t="s">
        <v>1400</v>
      </c>
      <c r="AH69" s="3" t="s">
        <v>1402</v>
      </c>
      <c r="AI69" s="3">
        <v>365</v>
      </c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</row>
    <row r="70" spans="1:112" x14ac:dyDescent="0.25">
      <c r="A70" s="3">
        <v>35</v>
      </c>
      <c r="B70" s="4" t="s">
        <v>81</v>
      </c>
      <c r="C70" s="1" t="s">
        <v>231</v>
      </c>
      <c r="D70" s="5" t="s">
        <v>146</v>
      </c>
      <c r="E70" s="3" t="s">
        <v>396</v>
      </c>
      <c r="F70" s="5" t="s">
        <v>212</v>
      </c>
      <c r="G70" s="3"/>
      <c r="H70" s="3" t="s">
        <v>426</v>
      </c>
      <c r="I70" s="25" t="s">
        <v>537</v>
      </c>
      <c r="J70" s="3" t="s">
        <v>564</v>
      </c>
      <c r="K70" s="11">
        <v>31386</v>
      </c>
      <c r="L70" s="32">
        <v>42474</v>
      </c>
      <c r="M70" s="35">
        <v>43556</v>
      </c>
      <c r="N70" s="3" t="s">
        <v>1082</v>
      </c>
      <c r="O70" s="3" t="s">
        <v>1104</v>
      </c>
      <c r="P70" s="3"/>
      <c r="Q70" s="39">
        <v>34114</v>
      </c>
      <c r="R70" s="39">
        <f t="shared" si="2"/>
        <v>1121.5561643835617</v>
      </c>
      <c r="S70" s="39">
        <f t="shared" si="3"/>
        <v>140.19452054794522</v>
      </c>
      <c r="T70" s="3" t="s">
        <v>1105</v>
      </c>
      <c r="U70" s="1">
        <v>3385623536</v>
      </c>
      <c r="V70" s="1" t="s">
        <v>1190</v>
      </c>
      <c r="W70" s="1" t="s">
        <v>1272</v>
      </c>
      <c r="X70" s="1" t="s">
        <v>1301</v>
      </c>
      <c r="Y70" s="3" t="s">
        <v>1307</v>
      </c>
      <c r="Z70" s="3"/>
      <c r="AA70" s="3"/>
      <c r="AB70" s="1" t="s">
        <v>1373</v>
      </c>
      <c r="AC70" s="41"/>
      <c r="AD70" s="41"/>
      <c r="AE70" s="3"/>
      <c r="AF70" s="3" t="s">
        <v>1396</v>
      </c>
      <c r="AG70" s="3" t="s">
        <v>1400</v>
      </c>
      <c r="AH70" s="3" t="s">
        <v>1402</v>
      </c>
      <c r="AI70" s="3">
        <v>365</v>
      </c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</row>
    <row r="71" spans="1:112" x14ac:dyDescent="0.25">
      <c r="A71" s="3">
        <v>200</v>
      </c>
      <c r="B71" s="26" t="s">
        <v>473</v>
      </c>
      <c r="C71" s="1"/>
      <c r="D71" s="5" t="s">
        <v>397</v>
      </c>
      <c r="E71" s="3" t="s">
        <v>398</v>
      </c>
      <c r="F71" s="5" t="s">
        <v>399</v>
      </c>
      <c r="G71" s="3"/>
      <c r="H71" s="3" t="s">
        <v>427</v>
      </c>
      <c r="I71" s="25" t="s">
        <v>538</v>
      </c>
      <c r="J71" s="3" t="s">
        <v>561</v>
      </c>
      <c r="K71" s="11">
        <v>37047</v>
      </c>
      <c r="L71" s="10">
        <v>46195</v>
      </c>
      <c r="M71" s="36"/>
      <c r="N71" s="3" t="s">
        <v>1082</v>
      </c>
      <c r="O71" s="3" t="s">
        <v>1092</v>
      </c>
      <c r="P71" s="3"/>
      <c r="Q71" s="39">
        <v>20107</v>
      </c>
      <c r="R71" s="39">
        <f t="shared" si="2"/>
        <v>661.05205479452059</v>
      </c>
      <c r="S71" s="39">
        <f t="shared" si="3"/>
        <v>82.631506849315073</v>
      </c>
      <c r="T71" s="3" t="s">
        <v>1106</v>
      </c>
      <c r="U71" s="1" t="s">
        <v>1125</v>
      </c>
      <c r="V71" s="1" t="s">
        <v>1191</v>
      </c>
      <c r="W71" s="1" t="s">
        <v>1273</v>
      </c>
      <c r="X71" s="1">
        <v>606976255</v>
      </c>
      <c r="Y71" s="3" t="s">
        <v>1307</v>
      </c>
      <c r="Z71" s="3"/>
      <c r="AA71" s="3"/>
      <c r="AB71" s="1" t="s">
        <v>1374</v>
      </c>
      <c r="AC71" s="41"/>
      <c r="AD71" s="41"/>
      <c r="AE71" s="3"/>
      <c r="AF71" s="3" t="s">
        <v>1397</v>
      </c>
      <c r="AG71" s="3" t="s">
        <v>1401</v>
      </c>
      <c r="AH71" s="3" t="s">
        <v>1402</v>
      </c>
      <c r="AI71" s="3">
        <v>365</v>
      </c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</row>
    <row r="72" spans="1:112" x14ac:dyDescent="0.25">
      <c r="A72" s="3">
        <v>71</v>
      </c>
      <c r="B72" s="4" t="s">
        <v>82</v>
      </c>
      <c r="C72" s="1" t="s">
        <v>231</v>
      </c>
      <c r="D72" s="5" t="s">
        <v>147</v>
      </c>
      <c r="E72" s="3" t="s">
        <v>400</v>
      </c>
      <c r="F72" s="5" t="s">
        <v>213</v>
      </c>
      <c r="G72" s="3"/>
      <c r="H72" s="3" t="s">
        <v>428</v>
      </c>
      <c r="I72" s="25" t="s">
        <v>539</v>
      </c>
      <c r="J72" s="3" t="s">
        <v>561</v>
      </c>
      <c r="K72" s="11">
        <v>31992</v>
      </c>
      <c r="L72" s="32">
        <v>39916</v>
      </c>
      <c r="M72" s="35">
        <v>41000</v>
      </c>
      <c r="N72" s="3" t="s">
        <v>1082</v>
      </c>
      <c r="O72" s="3" t="s">
        <v>1104</v>
      </c>
      <c r="P72" s="3"/>
      <c r="Q72" s="39">
        <v>35863</v>
      </c>
      <c r="R72" s="39">
        <f t="shared" si="2"/>
        <v>1179.0575342465754</v>
      </c>
      <c r="S72" s="39">
        <f t="shared" si="3"/>
        <v>147.38219178082193</v>
      </c>
      <c r="T72" s="3" t="s">
        <v>1106</v>
      </c>
      <c r="U72" s="1">
        <v>3415723212</v>
      </c>
      <c r="V72" s="1" t="s">
        <v>1192</v>
      </c>
      <c r="W72" s="1" t="s">
        <v>1274</v>
      </c>
      <c r="X72" s="1" t="s">
        <v>1302</v>
      </c>
      <c r="Y72" s="3" t="s">
        <v>1307</v>
      </c>
      <c r="Z72" s="3"/>
      <c r="AA72" s="3"/>
      <c r="AB72" s="1" t="s">
        <v>1375</v>
      </c>
      <c r="AC72" s="41"/>
      <c r="AD72" s="41"/>
      <c r="AE72" s="3"/>
      <c r="AF72" s="3" t="s">
        <v>1396</v>
      </c>
      <c r="AG72" s="3" t="s">
        <v>1400</v>
      </c>
      <c r="AH72" s="3" t="s">
        <v>1402</v>
      </c>
      <c r="AI72" s="3">
        <v>365</v>
      </c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</row>
    <row r="73" spans="1:112" x14ac:dyDescent="0.25">
      <c r="A73" s="3">
        <v>160</v>
      </c>
      <c r="B73" s="4" t="s">
        <v>83</v>
      </c>
      <c r="C73" s="1" t="s">
        <v>231</v>
      </c>
      <c r="D73" s="5" t="s">
        <v>148</v>
      </c>
      <c r="E73" s="3" t="s">
        <v>401</v>
      </c>
      <c r="F73" s="5" t="s">
        <v>214</v>
      </c>
      <c r="G73" s="3"/>
      <c r="H73" s="3" t="s">
        <v>429</v>
      </c>
      <c r="I73" s="25" t="s">
        <v>540</v>
      </c>
      <c r="J73" s="3" t="s">
        <v>575</v>
      </c>
      <c r="K73" s="11">
        <v>33509</v>
      </c>
      <c r="L73" s="10">
        <v>45803</v>
      </c>
      <c r="M73" s="36"/>
      <c r="N73" s="3" t="s">
        <v>1082</v>
      </c>
      <c r="O73" s="3" t="s">
        <v>1092</v>
      </c>
      <c r="P73" s="3"/>
      <c r="Q73" s="39">
        <v>18529</v>
      </c>
      <c r="R73" s="39">
        <f t="shared" si="2"/>
        <v>609.17260273972602</v>
      </c>
      <c r="S73" s="39">
        <f t="shared" si="3"/>
        <v>76.146575342465752</v>
      </c>
      <c r="T73" s="3" t="s">
        <v>1106</v>
      </c>
      <c r="U73" s="1">
        <v>3467167554</v>
      </c>
      <c r="V73" s="1" t="s">
        <v>1193</v>
      </c>
      <c r="W73" s="1" t="s">
        <v>1275</v>
      </c>
      <c r="X73" s="1">
        <v>499095488</v>
      </c>
      <c r="Y73" s="3" t="s">
        <v>1307</v>
      </c>
      <c r="Z73" s="3"/>
      <c r="AA73" s="3"/>
      <c r="AB73" s="1" t="s">
        <v>1376</v>
      </c>
      <c r="AC73" s="41"/>
      <c r="AD73" s="41"/>
      <c r="AE73" s="3"/>
      <c r="AF73" s="3" t="s">
        <v>1397</v>
      </c>
      <c r="AG73" s="3" t="s">
        <v>1401</v>
      </c>
      <c r="AH73" s="3" t="s">
        <v>1403</v>
      </c>
      <c r="AI73" s="3">
        <v>365</v>
      </c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</row>
    <row r="74" spans="1:112" x14ac:dyDescent="0.25">
      <c r="A74" s="3">
        <v>131</v>
      </c>
      <c r="B74" s="8" t="s">
        <v>66</v>
      </c>
      <c r="C74" s="1" t="s">
        <v>231</v>
      </c>
      <c r="D74" s="5" t="s">
        <v>131</v>
      </c>
      <c r="E74" s="3" t="s">
        <v>196</v>
      </c>
      <c r="F74" s="5" t="s">
        <v>214</v>
      </c>
      <c r="G74" s="3"/>
      <c r="H74" s="3" t="s">
        <v>371</v>
      </c>
      <c r="I74" s="25" t="s">
        <v>541</v>
      </c>
      <c r="J74" s="3" t="s">
        <v>556</v>
      </c>
      <c r="K74" s="9">
        <v>36763</v>
      </c>
      <c r="L74" s="32">
        <v>45140</v>
      </c>
      <c r="M74" s="35">
        <v>46236</v>
      </c>
      <c r="N74" s="3" t="s">
        <v>1082</v>
      </c>
      <c r="O74" s="3" t="s">
        <v>1090</v>
      </c>
      <c r="P74" s="3"/>
      <c r="Q74" s="39">
        <v>28059</v>
      </c>
      <c r="R74" s="39">
        <f t="shared" si="2"/>
        <v>922.48767123287666</v>
      </c>
      <c r="S74" s="39">
        <f t="shared" si="3"/>
        <v>115.31095890410958</v>
      </c>
      <c r="T74" s="3" t="s">
        <v>1105</v>
      </c>
      <c r="U74" s="1"/>
      <c r="V74" s="1"/>
      <c r="W74" s="1"/>
      <c r="X74" s="1"/>
      <c r="Y74" s="3" t="s">
        <v>1307</v>
      </c>
      <c r="Z74" s="3"/>
      <c r="AA74" s="3"/>
      <c r="AB74" s="1" t="s">
        <v>1377</v>
      </c>
      <c r="AC74" s="41"/>
      <c r="AD74" s="41"/>
      <c r="AE74" s="3"/>
      <c r="AF74" s="3" t="s">
        <v>1396</v>
      </c>
      <c r="AG74" s="3" t="s">
        <v>1400</v>
      </c>
      <c r="AH74" s="3" t="s">
        <v>1402</v>
      </c>
      <c r="AI74" s="3">
        <v>365</v>
      </c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</row>
    <row r="75" spans="1:112" x14ac:dyDescent="0.25">
      <c r="A75" s="3">
        <v>78</v>
      </c>
      <c r="B75" s="8" t="s">
        <v>474</v>
      </c>
      <c r="C75" s="1"/>
      <c r="D75" s="5" t="s">
        <v>448</v>
      </c>
      <c r="E75" s="3" t="s">
        <v>449</v>
      </c>
      <c r="F75" s="5" t="s">
        <v>450</v>
      </c>
      <c r="G75" s="3"/>
      <c r="H75" s="3" t="s">
        <v>451</v>
      </c>
      <c r="I75" s="25" t="s">
        <v>542</v>
      </c>
      <c r="J75" s="3" t="s">
        <v>561</v>
      </c>
      <c r="K75" s="9" t="s">
        <v>582</v>
      </c>
      <c r="L75" s="10">
        <v>46118</v>
      </c>
      <c r="M75" s="36"/>
      <c r="N75" s="3" t="s">
        <v>1082</v>
      </c>
      <c r="O75" s="3" t="s">
        <v>1104</v>
      </c>
      <c r="P75" s="3"/>
      <c r="Q75" s="39">
        <v>20107</v>
      </c>
      <c r="R75" s="39">
        <f t="shared" si="2"/>
        <v>661.05205479452059</v>
      </c>
      <c r="S75" s="39">
        <f t="shared" si="3"/>
        <v>82.631506849315073</v>
      </c>
      <c r="T75" s="3" t="s">
        <v>1106</v>
      </c>
      <c r="U75" s="1" t="s">
        <v>1126</v>
      </c>
      <c r="V75" s="1" t="s">
        <v>1194</v>
      </c>
      <c r="W75" s="1" t="s">
        <v>1276</v>
      </c>
      <c r="X75" s="1">
        <v>653164528</v>
      </c>
      <c r="Y75" s="3" t="s">
        <v>1307</v>
      </c>
      <c r="Z75" s="3"/>
      <c r="AA75" s="3"/>
      <c r="AB75" s="1" t="s">
        <v>1378</v>
      </c>
      <c r="AC75" s="41"/>
      <c r="AD75" s="41"/>
      <c r="AE75" s="3"/>
      <c r="AF75" s="3" t="s">
        <v>1397</v>
      </c>
      <c r="AG75" s="3" t="s">
        <v>1401</v>
      </c>
      <c r="AH75" s="3" t="s">
        <v>1402</v>
      </c>
      <c r="AI75" s="3">
        <v>365</v>
      </c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</row>
    <row r="76" spans="1:112" x14ac:dyDescent="0.25">
      <c r="A76" s="3">
        <v>139</v>
      </c>
      <c r="B76" s="4" t="s">
        <v>84</v>
      </c>
      <c r="C76" s="1" t="s">
        <v>231</v>
      </c>
      <c r="D76" s="5" t="s">
        <v>149</v>
      </c>
      <c r="E76" s="3" t="s">
        <v>402</v>
      </c>
      <c r="F76" s="5" t="s">
        <v>215</v>
      </c>
      <c r="G76" s="3"/>
      <c r="H76" s="3" t="s">
        <v>430</v>
      </c>
      <c r="I76" s="25" t="s">
        <v>543</v>
      </c>
      <c r="J76" s="3" t="s">
        <v>573</v>
      </c>
      <c r="K76" s="11">
        <v>37094</v>
      </c>
      <c r="L76" s="10">
        <v>45516</v>
      </c>
      <c r="M76" s="36"/>
      <c r="N76" s="3" t="s">
        <v>1082</v>
      </c>
      <c r="O76" s="3" t="s">
        <v>1097</v>
      </c>
      <c r="P76" s="3"/>
      <c r="Q76" s="39">
        <v>22722</v>
      </c>
      <c r="R76" s="39">
        <f t="shared" si="2"/>
        <v>747.02465753424656</v>
      </c>
      <c r="S76" s="39">
        <f t="shared" si="3"/>
        <v>93.37808219178082</v>
      </c>
      <c r="T76" s="3" t="s">
        <v>1106</v>
      </c>
      <c r="U76" s="1">
        <v>3533208635</v>
      </c>
      <c r="V76" s="1" t="s">
        <v>1195</v>
      </c>
      <c r="W76" s="1" t="s">
        <v>1277</v>
      </c>
      <c r="X76" s="1"/>
      <c r="Y76" s="3" t="s">
        <v>1307</v>
      </c>
      <c r="Z76" s="3"/>
      <c r="AA76" s="3"/>
      <c r="AB76" s="1" t="s">
        <v>1379</v>
      </c>
      <c r="AC76" s="41"/>
      <c r="AD76" s="41"/>
      <c r="AE76" s="3"/>
      <c r="AF76" s="3" t="s">
        <v>1397</v>
      </c>
      <c r="AG76" s="3" t="s">
        <v>1401</v>
      </c>
      <c r="AH76" s="3" t="s">
        <v>1402</v>
      </c>
      <c r="AI76" s="3">
        <v>365</v>
      </c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</row>
    <row r="77" spans="1:112" x14ac:dyDescent="0.25">
      <c r="A77" s="3">
        <v>63</v>
      </c>
      <c r="B77" s="15" t="s">
        <v>85</v>
      </c>
      <c r="C77" s="1" t="s">
        <v>231</v>
      </c>
      <c r="D77" s="5" t="s">
        <v>150</v>
      </c>
      <c r="E77" s="3" t="s">
        <v>403</v>
      </c>
      <c r="F77" s="5" t="s">
        <v>216</v>
      </c>
      <c r="G77" s="3"/>
      <c r="H77" s="3" t="s">
        <v>431</v>
      </c>
      <c r="I77" s="25" t="s">
        <v>488</v>
      </c>
      <c r="J77" s="3" t="s">
        <v>556</v>
      </c>
      <c r="K77" s="11">
        <v>34428</v>
      </c>
      <c r="L77" s="32">
        <v>43202</v>
      </c>
      <c r="M77" s="35">
        <v>44298</v>
      </c>
      <c r="N77" s="3" t="s">
        <v>1082</v>
      </c>
      <c r="O77" s="3" t="s">
        <v>1101</v>
      </c>
      <c r="P77" s="3"/>
      <c r="Q77" s="39">
        <v>31408</v>
      </c>
      <c r="R77" s="39">
        <f t="shared" si="2"/>
        <v>1032.5917808219178</v>
      </c>
      <c r="S77" s="39">
        <f t="shared" si="3"/>
        <v>129.07397260273973</v>
      </c>
      <c r="T77" s="3" t="s">
        <v>1105</v>
      </c>
      <c r="U77" s="1">
        <v>3425442907</v>
      </c>
      <c r="V77" s="1" t="s">
        <v>1196</v>
      </c>
      <c r="W77" s="1" t="s">
        <v>1278</v>
      </c>
      <c r="X77" s="1">
        <v>309213846</v>
      </c>
      <c r="Y77" s="3" t="s">
        <v>1307</v>
      </c>
      <c r="Z77" s="3"/>
      <c r="AA77" s="3"/>
      <c r="AB77" s="1" t="s">
        <v>1380</v>
      </c>
      <c r="AC77" s="41"/>
      <c r="AD77" s="41"/>
      <c r="AE77" s="3"/>
      <c r="AF77" s="3" t="s">
        <v>1396</v>
      </c>
      <c r="AG77" s="3" t="s">
        <v>1400</v>
      </c>
      <c r="AH77" s="3" t="s">
        <v>1402</v>
      </c>
      <c r="AI77" s="3">
        <v>365</v>
      </c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</row>
    <row r="78" spans="1:112" x14ac:dyDescent="0.25">
      <c r="A78" s="3">
        <v>161</v>
      </c>
      <c r="B78" s="12" t="s">
        <v>86</v>
      </c>
      <c r="C78" s="1" t="s">
        <v>231</v>
      </c>
      <c r="D78" s="5" t="s">
        <v>151</v>
      </c>
      <c r="E78" s="3" t="s">
        <v>404</v>
      </c>
      <c r="F78" s="5" t="s">
        <v>217</v>
      </c>
      <c r="G78" s="3"/>
      <c r="H78" s="3" t="s">
        <v>432</v>
      </c>
      <c r="I78" s="25" t="s">
        <v>544</v>
      </c>
      <c r="J78" s="3" t="s">
        <v>561</v>
      </c>
      <c r="K78" s="11">
        <v>37115</v>
      </c>
      <c r="L78" s="10">
        <v>45799</v>
      </c>
      <c r="M78" s="36"/>
      <c r="N78" s="3" t="s">
        <v>1082</v>
      </c>
      <c r="O78" s="3" t="s">
        <v>1097</v>
      </c>
      <c r="P78" s="3"/>
      <c r="Q78" s="39">
        <v>21107</v>
      </c>
      <c r="R78" s="39">
        <f t="shared" si="2"/>
        <v>693.92876712328768</v>
      </c>
      <c r="S78" s="39">
        <f t="shared" si="3"/>
        <v>86.741095890410961</v>
      </c>
      <c r="T78" s="3" t="s">
        <v>1106</v>
      </c>
      <c r="U78" s="1">
        <v>3515769723</v>
      </c>
      <c r="V78" s="1" t="s">
        <v>1197</v>
      </c>
      <c r="W78" s="1" t="s">
        <v>1279</v>
      </c>
      <c r="X78" s="1">
        <v>627920870</v>
      </c>
      <c r="Y78" s="3" t="s">
        <v>1307</v>
      </c>
      <c r="Z78" s="3"/>
      <c r="AA78" s="3"/>
      <c r="AB78" s="1" t="s">
        <v>1381</v>
      </c>
      <c r="AC78" s="41"/>
      <c r="AD78" s="41"/>
      <c r="AE78" s="3"/>
      <c r="AF78" s="3" t="s">
        <v>1397</v>
      </c>
      <c r="AG78" s="3" t="s">
        <v>1401</v>
      </c>
      <c r="AH78" s="3" t="s">
        <v>1402</v>
      </c>
      <c r="AI78" s="3">
        <v>365</v>
      </c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</row>
    <row r="79" spans="1:112" x14ac:dyDescent="0.25">
      <c r="A79" s="3">
        <v>51</v>
      </c>
      <c r="B79" s="4" t="s">
        <v>87</v>
      </c>
      <c r="C79" s="1" t="s">
        <v>231</v>
      </c>
      <c r="D79" s="5" t="s">
        <v>152</v>
      </c>
      <c r="E79" s="3" t="s">
        <v>405</v>
      </c>
      <c r="F79" s="5" t="s">
        <v>218</v>
      </c>
      <c r="G79" s="3"/>
      <c r="H79" s="3" t="s">
        <v>433</v>
      </c>
      <c r="I79" s="25" t="s">
        <v>545</v>
      </c>
      <c r="J79" s="3" t="s">
        <v>564</v>
      </c>
      <c r="K79" s="11">
        <v>35802</v>
      </c>
      <c r="L79" s="32">
        <v>44781</v>
      </c>
      <c r="M79" s="35">
        <v>45877</v>
      </c>
      <c r="N79" s="3" t="s">
        <v>1082</v>
      </c>
      <c r="O79" s="3" t="s">
        <v>1095</v>
      </c>
      <c r="P79" s="3"/>
      <c r="Q79" s="39">
        <v>27650</v>
      </c>
      <c r="R79" s="39">
        <f t="shared" si="2"/>
        <v>909.04109589041093</v>
      </c>
      <c r="S79" s="39">
        <f t="shared" si="3"/>
        <v>113.63013698630137</v>
      </c>
      <c r="T79" s="3" t="s">
        <v>1106</v>
      </c>
      <c r="U79" s="1" t="s">
        <v>1127</v>
      </c>
      <c r="V79" s="1" t="s">
        <v>1198</v>
      </c>
      <c r="W79" s="1" t="s">
        <v>1280</v>
      </c>
      <c r="X79" s="1">
        <v>749991084</v>
      </c>
      <c r="Y79" s="3" t="s">
        <v>1307</v>
      </c>
      <c r="Z79" s="3"/>
      <c r="AA79" s="3"/>
      <c r="AB79" s="1" t="s">
        <v>1382</v>
      </c>
      <c r="AC79" s="41"/>
      <c r="AD79" s="41"/>
      <c r="AE79" s="3"/>
      <c r="AF79" s="3" t="s">
        <v>1396</v>
      </c>
      <c r="AG79" s="3" t="s">
        <v>1400</v>
      </c>
      <c r="AH79" s="3" t="s">
        <v>1402</v>
      </c>
      <c r="AI79" s="3">
        <v>365</v>
      </c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</row>
    <row r="80" spans="1:112" x14ac:dyDescent="0.25">
      <c r="A80" s="3">
        <v>76</v>
      </c>
      <c r="B80" s="4" t="s">
        <v>476</v>
      </c>
      <c r="C80" s="1"/>
      <c r="D80" s="5" t="s">
        <v>406</v>
      </c>
      <c r="E80" s="3" t="s">
        <v>407</v>
      </c>
      <c r="F80" s="5" t="s">
        <v>219</v>
      </c>
      <c r="G80" s="3"/>
      <c r="H80" s="3" t="s">
        <v>434</v>
      </c>
      <c r="I80" s="25" t="s">
        <v>546</v>
      </c>
      <c r="J80" s="3" t="s">
        <v>561</v>
      </c>
      <c r="K80" s="11">
        <v>36415</v>
      </c>
      <c r="L80" s="10">
        <v>46283</v>
      </c>
      <c r="M80" s="36"/>
      <c r="N80" s="3" t="s">
        <v>1082</v>
      </c>
      <c r="O80" s="3" t="s">
        <v>1092</v>
      </c>
      <c r="P80" s="3"/>
      <c r="Q80" s="39">
        <v>20057</v>
      </c>
      <c r="R80" s="39">
        <f t="shared" si="2"/>
        <v>659.40821917808216</v>
      </c>
      <c r="S80" s="39">
        <f t="shared" si="3"/>
        <v>82.42602739726027</v>
      </c>
      <c r="T80" s="3" t="s">
        <v>1106</v>
      </c>
      <c r="U80" s="1" t="s">
        <v>1128</v>
      </c>
      <c r="V80" s="1" t="s">
        <v>1199</v>
      </c>
      <c r="W80" s="1" t="s">
        <v>1281</v>
      </c>
      <c r="X80" s="1" t="s">
        <v>1303</v>
      </c>
      <c r="Y80" s="3" t="s">
        <v>1307</v>
      </c>
      <c r="Z80" s="3"/>
      <c r="AA80" s="3"/>
      <c r="AB80" s="1" t="s">
        <v>1383</v>
      </c>
      <c r="AC80" s="41"/>
      <c r="AD80" s="41"/>
      <c r="AE80" s="3"/>
      <c r="AF80" s="3" t="s">
        <v>1397</v>
      </c>
      <c r="AG80" s="3" t="s">
        <v>1401</v>
      </c>
      <c r="AH80" s="3" t="s">
        <v>1402</v>
      </c>
      <c r="AI80" s="3">
        <v>365</v>
      </c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</row>
    <row r="81" spans="1:112" x14ac:dyDescent="0.25">
      <c r="A81" s="3">
        <v>174</v>
      </c>
      <c r="B81" s="8" t="s">
        <v>88</v>
      </c>
      <c r="C81" s="1" t="s">
        <v>231</v>
      </c>
      <c r="D81" s="5" t="s">
        <v>153</v>
      </c>
      <c r="E81" s="3" t="s">
        <v>408</v>
      </c>
      <c r="F81" s="5" t="s">
        <v>220</v>
      </c>
      <c r="G81" s="3"/>
      <c r="H81" s="3" t="s">
        <v>435</v>
      </c>
      <c r="I81" s="25" t="s">
        <v>547</v>
      </c>
      <c r="J81" s="3" t="s">
        <v>564</v>
      </c>
      <c r="K81" s="9">
        <v>37351</v>
      </c>
      <c r="L81" s="10">
        <v>45811</v>
      </c>
      <c r="M81" s="36"/>
      <c r="N81" s="3" t="s">
        <v>1082</v>
      </c>
      <c r="O81" s="3" t="s">
        <v>1092</v>
      </c>
      <c r="P81" s="3"/>
      <c r="Q81" s="39">
        <v>21057</v>
      </c>
      <c r="R81" s="39">
        <f t="shared" si="2"/>
        <v>692.28493150684926</v>
      </c>
      <c r="S81" s="39">
        <f t="shared" si="3"/>
        <v>86.535616438356158</v>
      </c>
      <c r="T81" s="3" t="s">
        <v>1106</v>
      </c>
      <c r="U81" s="1"/>
      <c r="V81" s="1"/>
      <c r="W81" s="1"/>
      <c r="X81" s="1"/>
      <c r="Y81" s="3" t="s">
        <v>1307</v>
      </c>
      <c r="Z81" s="3"/>
      <c r="AA81" s="3"/>
      <c r="AB81" s="1" t="s">
        <v>1384</v>
      </c>
      <c r="AC81" s="41"/>
      <c r="AD81" s="41"/>
      <c r="AE81" s="3"/>
      <c r="AF81" s="3" t="s">
        <v>1397</v>
      </c>
      <c r="AG81" s="3" t="s">
        <v>1401</v>
      </c>
      <c r="AH81" s="3" t="s">
        <v>1402</v>
      </c>
      <c r="AI81" s="3">
        <v>365</v>
      </c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</row>
    <row r="82" spans="1:112" x14ac:dyDescent="0.25">
      <c r="A82" s="3">
        <v>136</v>
      </c>
      <c r="B82" s="8" t="s">
        <v>89</v>
      </c>
      <c r="C82" s="1" t="s">
        <v>231</v>
      </c>
      <c r="D82" s="5" t="s">
        <v>154</v>
      </c>
      <c r="E82" s="3" t="s">
        <v>409</v>
      </c>
      <c r="F82" s="5" t="s">
        <v>221</v>
      </c>
      <c r="G82" s="3"/>
      <c r="H82" s="3" t="s">
        <v>436</v>
      </c>
      <c r="I82" s="25" t="s">
        <v>548</v>
      </c>
      <c r="J82" s="3" t="s">
        <v>556</v>
      </c>
      <c r="K82" s="9">
        <v>37005</v>
      </c>
      <c r="L82" s="32">
        <v>45152</v>
      </c>
      <c r="M82" s="35">
        <v>46248</v>
      </c>
      <c r="N82" s="3" t="s">
        <v>1082</v>
      </c>
      <c r="O82" s="3" t="s">
        <v>1097</v>
      </c>
      <c r="P82" s="3"/>
      <c r="Q82" s="39">
        <v>26733</v>
      </c>
      <c r="R82" s="39">
        <f t="shared" si="2"/>
        <v>878.89315068493147</v>
      </c>
      <c r="S82" s="39">
        <f t="shared" si="3"/>
        <v>109.86164383561643</v>
      </c>
      <c r="T82" s="3" t="s">
        <v>1106</v>
      </c>
      <c r="U82" s="1">
        <v>3526759353</v>
      </c>
      <c r="V82" s="1" t="s">
        <v>1200</v>
      </c>
      <c r="W82" s="1" t="s">
        <v>1282</v>
      </c>
      <c r="X82" s="1">
        <v>630792009</v>
      </c>
      <c r="Y82" s="3" t="s">
        <v>1307</v>
      </c>
      <c r="Z82" s="3"/>
      <c r="AA82" s="3"/>
      <c r="AB82" s="1" t="s">
        <v>1385</v>
      </c>
      <c r="AC82" s="41"/>
      <c r="AD82" s="41"/>
      <c r="AE82" s="3"/>
      <c r="AF82" s="3" t="s">
        <v>1396</v>
      </c>
      <c r="AG82" s="3" t="s">
        <v>1400</v>
      </c>
      <c r="AH82" s="3" t="s">
        <v>1402</v>
      </c>
      <c r="AI82" s="3">
        <v>365</v>
      </c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</row>
    <row r="83" spans="1:112" x14ac:dyDescent="0.25">
      <c r="A83" s="3">
        <v>106</v>
      </c>
      <c r="B83" s="8" t="s">
        <v>90</v>
      </c>
      <c r="C83" s="1" t="s">
        <v>231</v>
      </c>
      <c r="D83" s="5" t="s">
        <v>155</v>
      </c>
      <c r="E83" s="3" t="s">
        <v>410</v>
      </c>
      <c r="F83" s="5" t="s">
        <v>222</v>
      </c>
      <c r="G83" s="3"/>
      <c r="H83" s="3" t="s">
        <v>437</v>
      </c>
      <c r="I83" s="25" t="s">
        <v>549</v>
      </c>
      <c r="J83" s="3" t="s">
        <v>556</v>
      </c>
      <c r="K83" s="9">
        <v>35511</v>
      </c>
      <c r="L83" s="10">
        <v>45476</v>
      </c>
      <c r="M83" s="36"/>
      <c r="N83" s="3" t="s">
        <v>1082</v>
      </c>
      <c r="O83" s="3" t="s">
        <v>1103</v>
      </c>
      <c r="P83" s="3"/>
      <c r="Q83" s="39">
        <v>22888</v>
      </c>
      <c r="R83" s="39">
        <f t="shared" si="2"/>
        <v>752.48219178082195</v>
      </c>
      <c r="S83" s="39">
        <f t="shared" si="3"/>
        <v>94.060273972602744</v>
      </c>
      <c r="T83" s="3" t="s">
        <v>1106</v>
      </c>
      <c r="U83" s="1">
        <v>3465703622</v>
      </c>
      <c r="V83" s="1" t="s">
        <v>1201</v>
      </c>
      <c r="W83" s="1" t="s">
        <v>1283</v>
      </c>
      <c r="X83" s="1">
        <v>334672018</v>
      </c>
      <c r="Y83" s="3" t="s">
        <v>1307</v>
      </c>
      <c r="Z83" s="3"/>
      <c r="AA83" s="3"/>
      <c r="AB83" s="1" t="s">
        <v>1386</v>
      </c>
      <c r="AC83" s="41"/>
      <c r="AD83" s="41"/>
      <c r="AE83" s="3"/>
      <c r="AF83" s="3" t="s">
        <v>1397</v>
      </c>
      <c r="AG83" s="3" t="s">
        <v>1401</v>
      </c>
      <c r="AH83" s="3" t="s">
        <v>1402</v>
      </c>
      <c r="AI83" s="3">
        <v>365</v>
      </c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</row>
    <row r="84" spans="1:112" x14ac:dyDescent="0.25">
      <c r="A84" s="3">
        <v>126</v>
      </c>
      <c r="B84" s="8" t="s">
        <v>91</v>
      </c>
      <c r="C84" s="1" t="s">
        <v>231</v>
      </c>
      <c r="D84" s="5" t="s">
        <v>156</v>
      </c>
      <c r="E84" s="3" t="s">
        <v>411</v>
      </c>
      <c r="F84" s="5" t="s">
        <v>223</v>
      </c>
      <c r="G84" s="3"/>
      <c r="H84" s="3" t="s">
        <v>438</v>
      </c>
      <c r="I84" s="25" t="s">
        <v>550</v>
      </c>
      <c r="J84" s="3" t="s">
        <v>567</v>
      </c>
      <c r="K84" s="9">
        <v>34251</v>
      </c>
      <c r="L84" s="10">
        <v>45513</v>
      </c>
      <c r="M84" s="36"/>
      <c r="N84" s="3" t="s">
        <v>1082</v>
      </c>
      <c r="O84" s="3" t="s">
        <v>1090</v>
      </c>
      <c r="P84" s="3"/>
      <c r="Q84" s="39">
        <v>23008</v>
      </c>
      <c r="R84" s="39">
        <f t="shared" si="2"/>
        <v>756.42739726027401</v>
      </c>
      <c r="S84" s="39">
        <f t="shared" si="3"/>
        <v>94.553424657534251</v>
      </c>
      <c r="T84" s="36"/>
      <c r="U84" s="1"/>
      <c r="V84" s="1" t="s">
        <v>1202</v>
      </c>
      <c r="W84" s="1" t="s">
        <v>1284</v>
      </c>
      <c r="X84" s="1">
        <v>452766873</v>
      </c>
      <c r="Y84" s="3" t="s">
        <v>1307</v>
      </c>
      <c r="Z84" s="3"/>
      <c r="AA84" s="3"/>
      <c r="AB84" s="1" t="s">
        <v>1387</v>
      </c>
      <c r="AC84" s="41"/>
      <c r="AD84" s="41"/>
      <c r="AE84" s="3"/>
      <c r="AF84" s="3" t="s">
        <v>1397</v>
      </c>
      <c r="AG84" s="3" t="s">
        <v>1401</v>
      </c>
      <c r="AH84" s="3" t="s">
        <v>1402</v>
      </c>
      <c r="AI84" s="3">
        <v>365</v>
      </c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</row>
    <row r="85" spans="1:112" x14ac:dyDescent="0.25">
      <c r="A85" s="3">
        <v>62</v>
      </c>
      <c r="B85" s="15" t="s">
        <v>92</v>
      </c>
      <c r="C85" s="1" t="s">
        <v>231</v>
      </c>
      <c r="D85" s="5" t="s">
        <v>157</v>
      </c>
      <c r="E85" s="3" t="s">
        <v>412</v>
      </c>
      <c r="F85" s="5" t="s">
        <v>224</v>
      </c>
      <c r="G85" s="3"/>
      <c r="H85" s="3" t="s">
        <v>439</v>
      </c>
      <c r="I85" s="25" t="s">
        <v>488</v>
      </c>
      <c r="J85" s="3" t="s">
        <v>556</v>
      </c>
      <c r="K85" s="11">
        <v>35176</v>
      </c>
      <c r="L85" s="32">
        <v>43206</v>
      </c>
      <c r="M85" s="35">
        <v>44302</v>
      </c>
      <c r="N85" s="3" t="s">
        <v>1082</v>
      </c>
      <c r="O85" s="3" t="s">
        <v>1103</v>
      </c>
      <c r="P85" s="3"/>
      <c r="Q85" s="39">
        <v>29620</v>
      </c>
      <c r="R85" s="39">
        <f t="shared" si="2"/>
        <v>973.80821917808214</v>
      </c>
      <c r="S85" s="39">
        <f t="shared" si="3"/>
        <v>121.72602739726027</v>
      </c>
      <c r="T85" s="3" t="s">
        <v>1106</v>
      </c>
      <c r="U85" s="1">
        <v>3437248487</v>
      </c>
      <c r="V85" s="1" t="s">
        <v>1203</v>
      </c>
      <c r="W85" s="1" t="s">
        <v>1285</v>
      </c>
      <c r="X85" s="1">
        <v>313739217</v>
      </c>
      <c r="Y85" s="3" t="s">
        <v>1307</v>
      </c>
      <c r="Z85" s="3"/>
      <c r="AA85" s="3"/>
      <c r="AB85" s="1" t="s">
        <v>1388</v>
      </c>
      <c r="AC85" s="41"/>
      <c r="AD85" s="41"/>
      <c r="AE85" s="3"/>
      <c r="AF85" s="3" t="s">
        <v>1396</v>
      </c>
      <c r="AG85" s="3" t="s">
        <v>1400</v>
      </c>
      <c r="AH85" s="3" t="s">
        <v>1402</v>
      </c>
      <c r="AI85" s="3">
        <v>365</v>
      </c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</row>
    <row r="86" spans="1:112" x14ac:dyDescent="0.25">
      <c r="A86" s="3">
        <v>103</v>
      </c>
      <c r="B86" s="15" t="s">
        <v>93</v>
      </c>
      <c r="C86" s="1" t="s">
        <v>231</v>
      </c>
      <c r="D86" s="5" t="s">
        <v>158</v>
      </c>
      <c r="E86" s="3" t="s">
        <v>413</v>
      </c>
      <c r="F86" s="5" t="s">
        <v>225</v>
      </c>
      <c r="G86" s="3"/>
      <c r="H86" s="3" t="s">
        <v>440</v>
      </c>
      <c r="I86" s="25" t="s">
        <v>551</v>
      </c>
      <c r="J86" s="3" t="s">
        <v>556</v>
      </c>
      <c r="K86" s="11">
        <v>36839</v>
      </c>
      <c r="L86" s="10">
        <v>45474</v>
      </c>
      <c r="M86" s="36"/>
      <c r="N86" s="3" t="s">
        <v>1082</v>
      </c>
      <c r="O86" s="3" t="s">
        <v>1089</v>
      </c>
      <c r="P86" s="3"/>
      <c r="Q86" s="39">
        <v>22722</v>
      </c>
      <c r="R86" s="39">
        <f t="shared" si="2"/>
        <v>747.02465753424656</v>
      </c>
      <c r="S86" s="39">
        <f t="shared" si="3"/>
        <v>93.37808219178082</v>
      </c>
      <c r="T86" s="3" t="s">
        <v>1106</v>
      </c>
      <c r="U86" s="1">
        <v>3469914093</v>
      </c>
      <c r="V86" s="1" t="s">
        <v>1204</v>
      </c>
      <c r="W86" s="1" t="s">
        <v>1286</v>
      </c>
      <c r="X86" s="1"/>
      <c r="Y86" s="3" t="s">
        <v>1307</v>
      </c>
      <c r="Z86" s="3"/>
      <c r="AA86" s="3"/>
      <c r="AB86" s="1" t="s">
        <v>1389</v>
      </c>
      <c r="AC86" s="41"/>
      <c r="AD86" s="41"/>
      <c r="AE86" s="3"/>
      <c r="AF86" s="3" t="s">
        <v>1397</v>
      </c>
      <c r="AG86" s="3" t="s">
        <v>1401</v>
      </c>
      <c r="AH86" s="3" t="s">
        <v>1402</v>
      </c>
      <c r="AI86" s="3">
        <v>365</v>
      </c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</row>
    <row r="87" spans="1:112" x14ac:dyDescent="0.25">
      <c r="A87" s="3">
        <v>104</v>
      </c>
      <c r="B87" s="15" t="s">
        <v>94</v>
      </c>
      <c r="C87" s="1" t="s">
        <v>231</v>
      </c>
      <c r="D87" s="5" t="s">
        <v>159</v>
      </c>
      <c r="E87" s="3" t="s">
        <v>414</v>
      </c>
      <c r="F87" s="5" t="s">
        <v>226</v>
      </c>
      <c r="G87" s="3"/>
      <c r="H87" s="3" t="s">
        <v>441</v>
      </c>
      <c r="I87" s="25" t="s">
        <v>488</v>
      </c>
      <c r="J87" s="3" t="s">
        <v>556</v>
      </c>
      <c r="K87" s="11">
        <v>36364</v>
      </c>
      <c r="L87" s="10">
        <v>45476</v>
      </c>
      <c r="M87" s="36"/>
      <c r="N87" s="3" t="s">
        <v>1082</v>
      </c>
      <c r="O87" s="3" t="s">
        <v>1104</v>
      </c>
      <c r="P87" s="3"/>
      <c r="Q87" s="39">
        <v>22448</v>
      </c>
      <c r="R87" s="39">
        <f t="shared" si="2"/>
        <v>738.01643835616437</v>
      </c>
      <c r="S87" s="39">
        <f t="shared" si="3"/>
        <v>92.252054794520546</v>
      </c>
      <c r="T87" s="3" t="s">
        <v>1106</v>
      </c>
      <c r="U87" s="1">
        <v>3465703716</v>
      </c>
      <c r="V87" s="1" t="s">
        <v>1205</v>
      </c>
      <c r="W87" s="1"/>
      <c r="X87" s="1">
        <v>334671790</v>
      </c>
      <c r="Y87" s="3" t="s">
        <v>1307</v>
      </c>
      <c r="Z87" s="3"/>
      <c r="AA87" s="3"/>
      <c r="AB87" s="1" t="s">
        <v>1390</v>
      </c>
      <c r="AC87" s="41"/>
      <c r="AD87" s="41"/>
      <c r="AE87" s="3"/>
      <c r="AF87" s="3" t="s">
        <v>1397</v>
      </c>
      <c r="AG87" s="3" t="s">
        <v>1401</v>
      </c>
      <c r="AH87" s="3" t="s">
        <v>1402</v>
      </c>
      <c r="AI87" s="3">
        <v>365</v>
      </c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</row>
    <row r="88" spans="1:112" x14ac:dyDescent="0.25">
      <c r="A88" s="3">
        <v>54</v>
      </c>
      <c r="B88" s="12" t="s">
        <v>95</v>
      </c>
      <c r="C88" s="1" t="s">
        <v>231</v>
      </c>
      <c r="D88" s="5" t="s">
        <v>160</v>
      </c>
      <c r="E88" s="3" t="s">
        <v>415</v>
      </c>
      <c r="F88" s="5" t="s">
        <v>227</v>
      </c>
      <c r="G88" s="3"/>
      <c r="H88" s="3" t="s">
        <v>442</v>
      </c>
      <c r="I88" s="25" t="s">
        <v>488</v>
      </c>
      <c r="J88" s="3" t="s">
        <v>556</v>
      </c>
      <c r="K88" s="11">
        <v>35970</v>
      </c>
      <c r="L88" s="32">
        <v>43579</v>
      </c>
      <c r="M88" s="35">
        <v>44691</v>
      </c>
      <c r="N88" s="3" t="s">
        <v>1082</v>
      </c>
      <c r="O88" s="3" t="s">
        <v>1096</v>
      </c>
      <c r="P88" s="3"/>
      <c r="Q88" s="39">
        <v>29620</v>
      </c>
      <c r="R88" s="39">
        <f t="shared" si="2"/>
        <v>973.80821917808214</v>
      </c>
      <c r="S88" s="39">
        <f t="shared" si="3"/>
        <v>121.72602739726027</v>
      </c>
      <c r="T88" s="3" t="s">
        <v>1106</v>
      </c>
      <c r="U88" s="1">
        <v>3483628501</v>
      </c>
      <c r="V88" s="1" t="s">
        <v>1206</v>
      </c>
      <c r="W88" s="1" t="s">
        <v>1287</v>
      </c>
      <c r="X88" s="1">
        <v>743405119</v>
      </c>
      <c r="Y88" s="3" t="s">
        <v>1307</v>
      </c>
      <c r="Z88" s="3"/>
      <c r="AA88" s="3"/>
      <c r="AB88" s="1" t="s">
        <v>1391</v>
      </c>
      <c r="AC88" s="41"/>
      <c r="AD88" s="41"/>
      <c r="AE88" s="3"/>
      <c r="AF88" s="3" t="s">
        <v>1396</v>
      </c>
      <c r="AG88" s="3" t="s">
        <v>1400</v>
      </c>
      <c r="AH88" s="3" t="s">
        <v>1402</v>
      </c>
      <c r="AI88" s="3">
        <v>365</v>
      </c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</row>
    <row r="89" spans="1:112" x14ac:dyDescent="0.25">
      <c r="A89" s="3">
        <v>97</v>
      </c>
      <c r="B89" s="12" t="s">
        <v>475</v>
      </c>
      <c r="C89" s="1"/>
      <c r="D89" s="5" t="s">
        <v>416</v>
      </c>
      <c r="E89" s="3" t="s">
        <v>417</v>
      </c>
      <c r="F89" s="5" t="s">
        <v>418</v>
      </c>
      <c r="G89" s="3"/>
      <c r="H89" s="3" t="s">
        <v>443</v>
      </c>
      <c r="I89" s="25" t="s">
        <v>517</v>
      </c>
      <c r="J89" s="3" t="s">
        <v>560</v>
      </c>
      <c r="K89" s="11">
        <v>37260</v>
      </c>
      <c r="L89" s="10">
        <v>46167</v>
      </c>
      <c r="M89" s="36"/>
      <c r="N89" s="3" t="s">
        <v>1082</v>
      </c>
      <c r="O89" s="3" t="s">
        <v>1104</v>
      </c>
      <c r="P89" s="3"/>
      <c r="Q89" s="39">
        <v>17529</v>
      </c>
      <c r="R89" s="39">
        <f t="shared" si="2"/>
        <v>576.29589041095892</v>
      </c>
      <c r="S89" s="39">
        <f t="shared" si="3"/>
        <v>72.036986301369865</v>
      </c>
      <c r="T89" s="36"/>
      <c r="U89" s="1">
        <v>3507073854</v>
      </c>
      <c r="V89" s="1" t="s">
        <v>1207</v>
      </c>
      <c r="W89" s="1" t="s">
        <v>1288</v>
      </c>
      <c r="X89" s="1">
        <v>372123379</v>
      </c>
      <c r="Y89" s="3" t="s">
        <v>1307</v>
      </c>
      <c r="Z89" s="3"/>
      <c r="AA89" s="3"/>
      <c r="AB89" s="1" t="s">
        <v>1392</v>
      </c>
      <c r="AC89" s="41"/>
      <c r="AD89" s="41"/>
      <c r="AE89" s="3"/>
      <c r="AF89" s="3" t="s">
        <v>1397</v>
      </c>
      <c r="AG89" s="3" t="s">
        <v>1401</v>
      </c>
      <c r="AH89" s="3" t="s">
        <v>1403</v>
      </c>
      <c r="AI89" s="3">
        <v>365</v>
      </c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</row>
    <row r="90" spans="1:112" x14ac:dyDescent="0.25">
      <c r="A90" s="3">
        <v>181</v>
      </c>
      <c r="B90" s="4" t="s">
        <v>96</v>
      </c>
      <c r="C90" s="1" t="s">
        <v>231</v>
      </c>
      <c r="D90" s="5" t="s">
        <v>161</v>
      </c>
      <c r="E90" s="3" t="s">
        <v>419</v>
      </c>
      <c r="F90" s="5" t="s">
        <v>228</v>
      </c>
      <c r="G90" s="3"/>
      <c r="H90" s="3" t="s">
        <v>444</v>
      </c>
      <c r="I90" s="25" t="s">
        <v>552</v>
      </c>
      <c r="J90" s="3" t="s">
        <v>560</v>
      </c>
      <c r="K90" s="11">
        <v>33850</v>
      </c>
      <c r="L90" s="32">
        <v>42461</v>
      </c>
      <c r="M90" s="35">
        <v>43556</v>
      </c>
      <c r="N90" s="3" t="s">
        <v>1082</v>
      </c>
      <c r="O90" s="3" t="s">
        <v>1090</v>
      </c>
      <c r="P90" s="3"/>
      <c r="Q90" s="39">
        <v>32035</v>
      </c>
      <c r="R90" s="39">
        <f t="shared" si="2"/>
        <v>1053.2054794520548</v>
      </c>
      <c r="S90" s="39">
        <f t="shared" si="3"/>
        <v>131.65068493150685</v>
      </c>
      <c r="T90" s="3" t="s">
        <v>1106</v>
      </c>
      <c r="U90" s="1" t="s">
        <v>1129</v>
      </c>
      <c r="V90" s="1" t="s">
        <v>1208</v>
      </c>
      <c r="W90" s="1" t="s">
        <v>1289</v>
      </c>
      <c r="X90" s="1" t="s">
        <v>1304</v>
      </c>
      <c r="Y90" s="3" t="s">
        <v>1307</v>
      </c>
      <c r="Z90" s="3"/>
      <c r="AA90" s="3"/>
      <c r="AB90" s="1" t="s">
        <v>1393</v>
      </c>
      <c r="AC90" s="41"/>
      <c r="AD90" s="41"/>
      <c r="AE90" s="3"/>
      <c r="AF90" s="3" t="s">
        <v>1396</v>
      </c>
      <c r="AG90" s="3" t="s">
        <v>1400</v>
      </c>
      <c r="AH90" s="3" t="s">
        <v>1402</v>
      </c>
      <c r="AI90" s="3">
        <v>365</v>
      </c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</row>
    <row r="91" spans="1:112" x14ac:dyDescent="0.25">
      <c r="A91" s="3">
        <v>40</v>
      </c>
      <c r="B91" s="4" t="s">
        <v>97</v>
      </c>
      <c r="C91" s="1" t="s">
        <v>231</v>
      </c>
      <c r="D91" s="5" t="s">
        <v>162</v>
      </c>
      <c r="E91" s="3" t="s">
        <v>420</v>
      </c>
      <c r="F91" s="5" t="s">
        <v>229</v>
      </c>
      <c r="G91" s="3"/>
      <c r="H91" s="3" t="s">
        <v>445</v>
      </c>
      <c r="I91" s="25" t="s">
        <v>488</v>
      </c>
      <c r="J91" s="3" t="s">
        <v>556</v>
      </c>
      <c r="K91" s="11">
        <v>25966</v>
      </c>
      <c r="L91" s="32">
        <v>34464</v>
      </c>
      <c r="M91" s="35">
        <v>35521</v>
      </c>
      <c r="N91" s="3" t="s">
        <v>1082</v>
      </c>
      <c r="O91" s="3" t="s">
        <v>1089</v>
      </c>
      <c r="P91" s="3"/>
      <c r="Q91" s="39">
        <v>42896</v>
      </c>
      <c r="R91" s="39">
        <f t="shared" si="2"/>
        <v>1410.2794520547945</v>
      </c>
      <c r="S91" s="39">
        <f t="shared" si="3"/>
        <v>176.28493150684932</v>
      </c>
      <c r="T91" s="3" t="s">
        <v>1105</v>
      </c>
      <c r="U91" s="1">
        <v>3335969855</v>
      </c>
      <c r="V91" s="1" t="s">
        <v>1209</v>
      </c>
      <c r="W91" s="1" t="s">
        <v>1290</v>
      </c>
      <c r="X91" s="1" t="s">
        <v>1305</v>
      </c>
      <c r="Y91" s="3" t="s">
        <v>1307</v>
      </c>
      <c r="Z91" s="3"/>
      <c r="AA91" s="3"/>
      <c r="AB91" s="1" t="s">
        <v>1394</v>
      </c>
      <c r="AC91" s="41"/>
      <c r="AD91" s="41"/>
      <c r="AE91" s="3"/>
      <c r="AF91" s="3" t="s">
        <v>1396</v>
      </c>
      <c r="AG91" s="3" t="s">
        <v>1400</v>
      </c>
      <c r="AH91" s="3" t="s">
        <v>1402</v>
      </c>
      <c r="AI91" s="3">
        <v>365</v>
      </c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</row>
    <row r="92" spans="1:112" x14ac:dyDescent="0.25">
      <c r="A92" s="3">
        <v>80</v>
      </c>
      <c r="B92" s="4" t="s">
        <v>99</v>
      </c>
      <c r="C92" s="1" t="s">
        <v>231</v>
      </c>
      <c r="D92" s="5" t="s">
        <v>164</v>
      </c>
      <c r="E92" s="3" t="s">
        <v>422</v>
      </c>
      <c r="F92" s="5" t="s">
        <v>230</v>
      </c>
      <c r="G92" s="3"/>
      <c r="H92" s="3" t="s">
        <v>447</v>
      </c>
      <c r="I92" s="25" t="s">
        <v>553</v>
      </c>
      <c r="J92" s="3" t="s">
        <v>556</v>
      </c>
      <c r="K92" s="11">
        <v>34267</v>
      </c>
      <c r="L92" s="32">
        <v>42849</v>
      </c>
      <c r="M92" s="35">
        <v>43983</v>
      </c>
      <c r="N92" s="3" t="s">
        <v>1082</v>
      </c>
      <c r="O92" s="3" t="s">
        <v>1100</v>
      </c>
      <c r="P92" s="3"/>
      <c r="Q92" s="39">
        <v>32250</v>
      </c>
      <c r="R92" s="39">
        <f t="shared" si="2"/>
        <v>1060.2739726027398</v>
      </c>
      <c r="S92" s="39">
        <f t="shared" si="3"/>
        <v>132.53424657534248</v>
      </c>
      <c r="T92" s="3" t="s">
        <v>1106</v>
      </c>
      <c r="U92" s="1">
        <v>34515509342</v>
      </c>
      <c r="V92" s="1" t="s">
        <v>1210</v>
      </c>
      <c r="W92" s="1" t="s">
        <v>1291</v>
      </c>
      <c r="X92" s="1" t="s">
        <v>1306</v>
      </c>
      <c r="Y92" s="3" t="s">
        <v>1307</v>
      </c>
      <c r="Z92" s="3"/>
      <c r="AA92" s="3"/>
      <c r="AB92" s="1" t="s">
        <v>1395</v>
      </c>
      <c r="AC92" s="41"/>
      <c r="AD92" s="41"/>
      <c r="AE92" s="3"/>
      <c r="AF92" s="3" t="s">
        <v>1396</v>
      </c>
      <c r="AG92" s="3" t="s">
        <v>1400</v>
      </c>
      <c r="AH92" s="3" t="s">
        <v>1402</v>
      </c>
      <c r="AI92" s="3">
        <v>365</v>
      </c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</row>
    <row r="93" spans="1:112" x14ac:dyDescent="0.25">
      <c r="A93" s="3">
        <v>96</v>
      </c>
      <c r="B93" s="13" t="s">
        <v>744</v>
      </c>
      <c r="C93" s="3"/>
      <c r="D93" s="16" t="s">
        <v>583</v>
      </c>
      <c r="E93" s="3" t="s">
        <v>827</v>
      </c>
      <c r="F93" s="16" t="s">
        <v>742</v>
      </c>
      <c r="G93" s="3" t="s">
        <v>741</v>
      </c>
      <c r="H93" s="16" t="s">
        <v>909</v>
      </c>
      <c r="I93" s="28" t="s">
        <v>1001</v>
      </c>
      <c r="J93" s="3" t="s">
        <v>556</v>
      </c>
      <c r="K93" s="27">
        <v>22620</v>
      </c>
      <c r="L93" s="42">
        <v>39182</v>
      </c>
      <c r="M93" s="3"/>
      <c r="N93" s="3" t="s">
        <v>1498</v>
      </c>
      <c r="O93" s="3"/>
      <c r="P93" s="3"/>
      <c r="Q93" s="39">
        <v>22314</v>
      </c>
      <c r="R93" s="39">
        <f t="shared" si="2"/>
        <v>733.61095890410957</v>
      </c>
      <c r="S93" s="39">
        <f t="shared" si="3"/>
        <v>91.701369863013696</v>
      </c>
      <c r="T93" s="3" t="s">
        <v>1105</v>
      </c>
      <c r="U93" s="45" t="s">
        <v>1424</v>
      </c>
      <c r="V93" s="1" t="s">
        <v>1433</v>
      </c>
      <c r="W93" s="1" t="s">
        <v>1446</v>
      </c>
      <c r="X93" s="1" t="s">
        <v>1459</v>
      </c>
      <c r="Y93" s="3" t="s">
        <v>1470</v>
      </c>
      <c r="Z93" s="3"/>
      <c r="AA93" s="3"/>
      <c r="AB93" s="1" t="s">
        <v>1472</v>
      </c>
      <c r="AC93" s="41"/>
      <c r="AD93" s="41"/>
      <c r="AE93" s="3"/>
      <c r="AF93" s="3" t="s">
        <v>1396</v>
      </c>
      <c r="AG93" s="3"/>
      <c r="AH93" s="3"/>
      <c r="AI93" s="3">
        <v>365</v>
      </c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</row>
    <row r="94" spans="1:112" x14ac:dyDescent="0.25">
      <c r="A94" s="3">
        <v>28</v>
      </c>
      <c r="B94" s="13" t="s">
        <v>745</v>
      </c>
      <c r="C94" s="3"/>
      <c r="D94" s="17" t="s">
        <v>584</v>
      </c>
      <c r="E94" s="3" t="s">
        <v>828</v>
      </c>
      <c r="F94" s="17" t="s">
        <v>660</v>
      </c>
      <c r="G94" s="3"/>
      <c r="H94" s="17" t="s">
        <v>910</v>
      </c>
      <c r="I94" s="28" t="s">
        <v>1002</v>
      </c>
      <c r="J94" s="3" t="s">
        <v>556</v>
      </c>
      <c r="K94" s="27">
        <v>36184</v>
      </c>
      <c r="L94" s="42">
        <v>45639</v>
      </c>
      <c r="M94" s="3"/>
      <c r="N94" s="3" t="s">
        <v>1499</v>
      </c>
      <c r="O94" s="3"/>
      <c r="P94" s="3"/>
      <c r="Q94" s="39">
        <v>19996</v>
      </c>
      <c r="R94" s="39">
        <f t="shared" si="2"/>
        <v>657.40273972602745</v>
      </c>
      <c r="S94" s="39">
        <f t="shared" si="3"/>
        <v>82.175342465753431</v>
      </c>
      <c r="T94" s="3" t="s">
        <v>1106</v>
      </c>
      <c r="U94" s="45" t="s">
        <v>1425</v>
      </c>
      <c r="V94" s="1" t="s">
        <v>1434</v>
      </c>
      <c r="W94" s="1" t="s">
        <v>1447</v>
      </c>
      <c r="X94" s="1" t="s">
        <v>1460</v>
      </c>
      <c r="Y94" s="3" t="s">
        <v>1307</v>
      </c>
      <c r="Z94" s="3"/>
      <c r="AA94" s="3"/>
      <c r="AB94" s="1" t="s">
        <v>1473</v>
      </c>
      <c r="AC94" s="41"/>
      <c r="AD94" s="41"/>
      <c r="AE94" s="3"/>
      <c r="AF94" s="3" t="s">
        <v>1396</v>
      </c>
      <c r="AG94" s="3"/>
      <c r="AH94" s="3"/>
      <c r="AI94" s="3">
        <v>365</v>
      </c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</row>
    <row r="95" spans="1:112" x14ac:dyDescent="0.25">
      <c r="A95" s="3">
        <v>167</v>
      </c>
      <c r="B95" s="18" t="s">
        <v>746</v>
      </c>
      <c r="C95" s="3"/>
      <c r="D95" s="19" t="s">
        <v>585</v>
      </c>
      <c r="E95" s="3" t="s">
        <v>829</v>
      </c>
      <c r="F95" s="19" t="s">
        <v>661</v>
      </c>
      <c r="G95" s="3"/>
      <c r="H95" s="17" t="s">
        <v>911</v>
      </c>
      <c r="I95" s="28" t="s">
        <v>1003</v>
      </c>
      <c r="J95" s="3" t="s">
        <v>556</v>
      </c>
      <c r="K95" s="27">
        <v>37015</v>
      </c>
      <c r="L95" s="42">
        <v>45178</v>
      </c>
      <c r="M95" s="3"/>
      <c r="N95" s="3" t="s">
        <v>1500</v>
      </c>
      <c r="O95" s="3"/>
      <c r="P95" s="3"/>
      <c r="Q95" s="39">
        <v>21420</v>
      </c>
      <c r="R95" s="39">
        <f t="shared" si="2"/>
        <v>704.21917808219177</v>
      </c>
      <c r="S95" s="39">
        <f t="shared" si="3"/>
        <v>88.027397260273972</v>
      </c>
      <c r="T95" s="3" t="s">
        <v>1106</v>
      </c>
      <c r="U95" s="45" t="s">
        <v>1426</v>
      </c>
      <c r="V95" s="1" t="s">
        <v>1435</v>
      </c>
      <c r="W95" s="1" t="s">
        <v>1448</v>
      </c>
      <c r="X95" s="1" t="s">
        <v>1461</v>
      </c>
      <c r="Y95" s="3" t="s">
        <v>1307</v>
      </c>
      <c r="Z95" s="3"/>
      <c r="AA95" s="3"/>
      <c r="AB95" s="1" t="s">
        <v>1474</v>
      </c>
      <c r="AC95" s="41"/>
      <c r="AD95" s="41"/>
      <c r="AE95" s="3"/>
      <c r="AF95" s="3" t="s">
        <v>1396</v>
      </c>
      <c r="AG95" s="3"/>
      <c r="AH95" s="3"/>
      <c r="AI95" s="3">
        <v>365</v>
      </c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</row>
    <row r="96" spans="1:112" x14ac:dyDescent="0.25">
      <c r="A96" s="3"/>
      <c r="B96" s="18" t="s">
        <v>747</v>
      </c>
      <c r="C96" s="3"/>
      <c r="D96" s="16" t="s">
        <v>586</v>
      </c>
      <c r="E96" s="3" t="s">
        <v>1080</v>
      </c>
      <c r="F96" s="16" t="s">
        <v>662</v>
      </c>
      <c r="G96" s="3"/>
      <c r="H96" s="17" t="s">
        <v>1081</v>
      </c>
      <c r="I96" s="24"/>
      <c r="J96" s="3"/>
      <c r="K96" s="27">
        <v>30714</v>
      </c>
      <c r="L96" s="42">
        <v>44963</v>
      </c>
      <c r="M96" s="3"/>
      <c r="N96" s="3" t="s">
        <v>1501</v>
      </c>
      <c r="O96" s="3" t="s">
        <v>1505</v>
      </c>
      <c r="P96" s="3"/>
      <c r="Q96" s="39">
        <v>60000</v>
      </c>
      <c r="R96" s="39">
        <f t="shared" si="2"/>
        <v>1972.6027397260275</v>
      </c>
      <c r="S96" s="39">
        <f t="shared" si="3"/>
        <v>246.57534246575344</v>
      </c>
      <c r="T96" s="3" t="s">
        <v>1105</v>
      </c>
      <c r="U96" s="45"/>
      <c r="V96" s="1" t="s">
        <v>1436</v>
      </c>
      <c r="W96" s="1"/>
      <c r="X96" s="1">
        <v>410171973</v>
      </c>
      <c r="Y96" s="3" t="s">
        <v>1307</v>
      </c>
      <c r="Z96" s="3"/>
      <c r="AA96" s="3"/>
      <c r="AB96" s="1" t="s">
        <v>1475</v>
      </c>
      <c r="AC96" s="41"/>
      <c r="AD96" s="41"/>
      <c r="AE96" s="3"/>
      <c r="AF96" s="3" t="s">
        <v>1396</v>
      </c>
      <c r="AG96" s="3"/>
      <c r="AH96" s="3"/>
      <c r="AI96" s="3">
        <v>365</v>
      </c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</row>
    <row r="97" spans="1:112" x14ac:dyDescent="0.25">
      <c r="A97" s="3">
        <v>75</v>
      </c>
      <c r="B97" s="13" t="s">
        <v>748</v>
      </c>
      <c r="C97" s="3"/>
      <c r="D97" s="17" t="s">
        <v>587</v>
      </c>
      <c r="E97" s="3" t="s">
        <v>830</v>
      </c>
      <c r="F97" s="17" t="s">
        <v>663</v>
      </c>
      <c r="G97" s="3"/>
      <c r="H97" s="17" t="s">
        <v>912</v>
      </c>
      <c r="I97" s="24"/>
      <c r="J97" s="3"/>
      <c r="K97" s="27">
        <v>36292</v>
      </c>
      <c r="L97" s="42">
        <v>45537</v>
      </c>
      <c r="M97" s="3"/>
      <c r="N97" s="3" t="s">
        <v>1502</v>
      </c>
      <c r="O97" s="3"/>
      <c r="P97" s="3"/>
      <c r="Q97" s="39">
        <v>32779</v>
      </c>
      <c r="R97" s="39">
        <f t="shared" si="2"/>
        <v>1077.6657534246576</v>
      </c>
      <c r="S97" s="39">
        <f t="shared" si="3"/>
        <v>134.7082191780822</v>
      </c>
      <c r="T97" s="3" t="s">
        <v>1106</v>
      </c>
      <c r="U97" s="45" t="s">
        <v>1427</v>
      </c>
      <c r="V97" s="1" t="s">
        <v>1437</v>
      </c>
      <c r="W97" s="1" t="s">
        <v>1449</v>
      </c>
      <c r="X97" s="1" t="s">
        <v>1462</v>
      </c>
      <c r="Y97" s="3" t="s">
        <v>1307</v>
      </c>
      <c r="Z97" s="3"/>
      <c r="AA97" s="3"/>
      <c r="AB97" s="1" t="s">
        <v>1476</v>
      </c>
      <c r="AC97" s="41"/>
      <c r="AD97" s="41"/>
      <c r="AE97" s="3"/>
      <c r="AF97" s="3" t="s">
        <v>1396</v>
      </c>
      <c r="AG97" s="3"/>
      <c r="AH97" s="3"/>
      <c r="AI97" s="3">
        <v>365</v>
      </c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</row>
    <row r="98" spans="1:112" x14ac:dyDescent="0.25">
      <c r="A98" s="3"/>
      <c r="B98" s="18" t="s">
        <v>749</v>
      </c>
      <c r="C98" s="3"/>
      <c r="D98" s="19" t="s">
        <v>743</v>
      </c>
      <c r="E98" s="3" t="s">
        <v>831</v>
      </c>
      <c r="F98" s="19" t="s">
        <v>664</v>
      </c>
      <c r="G98" s="3" t="s">
        <v>741</v>
      </c>
      <c r="H98" s="17" t="s">
        <v>913</v>
      </c>
      <c r="I98" s="28" t="s">
        <v>1004</v>
      </c>
      <c r="J98" s="3" t="s">
        <v>1407</v>
      </c>
      <c r="K98" s="27">
        <v>26802</v>
      </c>
      <c r="L98" s="42">
        <v>45261</v>
      </c>
      <c r="M98" s="3"/>
      <c r="N98" s="3" t="s">
        <v>1503</v>
      </c>
      <c r="O98" s="3"/>
      <c r="P98" s="3"/>
      <c r="Q98" s="39">
        <v>34125</v>
      </c>
      <c r="R98" s="39">
        <f t="shared" si="2"/>
        <v>1121.9178082191781</v>
      </c>
      <c r="S98" s="39">
        <f t="shared" si="3"/>
        <v>140.23972602739727</v>
      </c>
      <c r="T98" s="3" t="s">
        <v>1105</v>
      </c>
      <c r="U98" s="45"/>
      <c r="V98" s="1"/>
      <c r="W98" s="1"/>
      <c r="X98" s="1"/>
      <c r="Y98" s="3" t="s">
        <v>1307</v>
      </c>
      <c r="Z98" s="3"/>
      <c r="AA98" s="3"/>
      <c r="AB98" s="1" t="s">
        <v>1477</v>
      </c>
      <c r="AC98" s="41"/>
      <c r="AD98" s="41"/>
      <c r="AE98" s="3"/>
      <c r="AF98" s="3" t="s">
        <v>1396</v>
      </c>
      <c r="AG98" s="3"/>
      <c r="AH98" s="3"/>
      <c r="AI98" s="3">
        <v>365</v>
      </c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</row>
    <row r="99" spans="1:112" x14ac:dyDescent="0.25">
      <c r="A99" s="3"/>
      <c r="B99" s="13" t="s">
        <v>750</v>
      </c>
      <c r="C99" s="3"/>
      <c r="D99" s="17" t="s">
        <v>588</v>
      </c>
      <c r="E99" s="3" t="s">
        <v>832</v>
      </c>
      <c r="F99" s="17" t="s">
        <v>665</v>
      </c>
      <c r="G99" s="3"/>
      <c r="H99" s="17" t="s">
        <v>914</v>
      </c>
      <c r="I99" s="24"/>
      <c r="J99" s="3"/>
      <c r="K99" s="27">
        <v>36879</v>
      </c>
      <c r="L99" s="42">
        <v>44849</v>
      </c>
      <c r="M99" s="3"/>
      <c r="N99" s="3" t="s">
        <v>1504</v>
      </c>
      <c r="O99" s="3" t="s">
        <v>1505</v>
      </c>
      <c r="P99" s="3"/>
      <c r="Q99" s="39">
        <v>21420</v>
      </c>
      <c r="R99" s="39">
        <f t="shared" si="2"/>
        <v>704.21917808219177</v>
      </c>
      <c r="S99" s="39">
        <f t="shared" si="3"/>
        <v>88.027397260273972</v>
      </c>
      <c r="T99" s="3" t="s">
        <v>1106</v>
      </c>
      <c r="U99" s="45" t="s">
        <v>1428</v>
      </c>
      <c r="V99" s="1" t="s">
        <v>1438</v>
      </c>
      <c r="W99" s="1" t="s">
        <v>1450</v>
      </c>
      <c r="X99" s="1"/>
      <c r="Y99" s="3" t="s">
        <v>1307</v>
      </c>
      <c r="Z99" s="3"/>
      <c r="AA99" s="3"/>
      <c r="AB99" s="1" t="s">
        <v>1478</v>
      </c>
      <c r="AC99" s="41"/>
      <c r="AD99" s="41"/>
      <c r="AE99" s="3"/>
      <c r="AF99" s="3" t="s">
        <v>1396</v>
      </c>
      <c r="AG99" s="3"/>
      <c r="AH99" s="3"/>
      <c r="AI99" s="3">
        <v>365</v>
      </c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</row>
    <row r="100" spans="1:112" x14ac:dyDescent="0.25">
      <c r="A100" s="3"/>
      <c r="B100" s="18" t="s">
        <v>751</v>
      </c>
      <c r="C100" s="3"/>
      <c r="D100" s="17" t="s">
        <v>589</v>
      </c>
      <c r="E100" s="3" t="s">
        <v>833</v>
      </c>
      <c r="F100" s="17" t="s">
        <v>666</v>
      </c>
      <c r="G100" s="3"/>
      <c r="H100" s="17" t="s">
        <v>915</v>
      </c>
      <c r="I100" s="24"/>
      <c r="J100" s="3"/>
      <c r="K100" s="27">
        <v>27284</v>
      </c>
      <c r="L100" s="42">
        <v>44977</v>
      </c>
      <c r="M100" s="3"/>
      <c r="N100" s="3" t="s">
        <v>1504</v>
      </c>
      <c r="O100" s="3" t="s">
        <v>1505</v>
      </c>
      <c r="P100" s="3"/>
      <c r="Q100" s="39">
        <v>21420</v>
      </c>
      <c r="R100" s="39">
        <f t="shared" si="2"/>
        <v>704.21917808219177</v>
      </c>
      <c r="S100" s="39">
        <f t="shared" si="3"/>
        <v>88.027397260273972</v>
      </c>
      <c r="T100" s="3" t="s">
        <v>1106</v>
      </c>
      <c r="U100" s="45">
        <v>3359156084</v>
      </c>
      <c r="V100" s="1" t="s">
        <v>1439</v>
      </c>
      <c r="W100" s="1" t="s">
        <v>1451</v>
      </c>
      <c r="X100" s="1" t="s">
        <v>1463</v>
      </c>
      <c r="Y100" s="3" t="s">
        <v>1307</v>
      </c>
      <c r="Z100" s="3"/>
      <c r="AA100" s="3"/>
      <c r="AB100" s="1" t="s">
        <v>1479</v>
      </c>
      <c r="AC100" s="41"/>
      <c r="AD100" s="41"/>
      <c r="AE100" s="3"/>
      <c r="AF100" s="3" t="s">
        <v>1396</v>
      </c>
      <c r="AG100" s="3"/>
      <c r="AH100" s="3"/>
      <c r="AI100" s="3">
        <v>365</v>
      </c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</row>
    <row r="101" spans="1:112" ht="15" customHeight="1" x14ac:dyDescent="0.25">
      <c r="A101" s="3">
        <v>39</v>
      </c>
      <c r="B101" s="13" t="s">
        <v>752</v>
      </c>
      <c r="C101" s="3"/>
      <c r="D101" s="17" t="s">
        <v>590</v>
      </c>
      <c r="E101" s="3" t="s">
        <v>834</v>
      </c>
      <c r="F101" s="17" t="s">
        <v>667</v>
      </c>
      <c r="G101" s="3"/>
      <c r="H101" s="17" t="s">
        <v>916</v>
      </c>
      <c r="I101" s="29" t="s">
        <v>1063</v>
      </c>
      <c r="J101" s="3" t="s">
        <v>1408</v>
      </c>
      <c r="K101" s="27">
        <v>27384</v>
      </c>
      <c r="L101" s="42">
        <v>36621</v>
      </c>
      <c r="M101" s="3"/>
      <c r="N101" s="3" t="s">
        <v>1501</v>
      </c>
      <c r="O101" s="3"/>
      <c r="P101" s="3"/>
      <c r="Q101" s="39">
        <v>45388</v>
      </c>
      <c r="R101" s="39">
        <f t="shared" si="2"/>
        <v>1492.2082191780821</v>
      </c>
      <c r="S101" s="39">
        <f t="shared" si="3"/>
        <v>186.52602739726026</v>
      </c>
      <c r="T101" s="3" t="s">
        <v>1105</v>
      </c>
      <c r="U101" s="45">
        <v>3319525192</v>
      </c>
      <c r="V101" s="1" t="s">
        <v>1440</v>
      </c>
      <c r="W101" s="1" t="s">
        <v>1452</v>
      </c>
      <c r="X101" s="1" t="s">
        <v>1464</v>
      </c>
      <c r="Y101" s="3" t="s">
        <v>1307</v>
      </c>
      <c r="Z101" s="3"/>
      <c r="AA101" s="3"/>
      <c r="AB101" s="1" t="s">
        <v>1480</v>
      </c>
      <c r="AC101" s="41"/>
      <c r="AD101" s="41"/>
      <c r="AE101" s="3"/>
      <c r="AF101" s="3" t="s">
        <v>1396</v>
      </c>
      <c r="AG101" s="3"/>
      <c r="AH101" s="3"/>
      <c r="AI101" s="3">
        <v>365</v>
      </c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</row>
    <row r="102" spans="1:112" x14ac:dyDescent="0.25">
      <c r="A102" s="3">
        <v>19</v>
      </c>
      <c r="B102" s="13" t="s">
        <v>753</v>
      </c>
      <c r="C102" s="3"/>
      <c r="D102" s="19" t="s">
        <v>591</v>
      </c>
      <c r="E102" s="3" t="s">
        <v>835</v>
      </c>
      <c r="F102" s="19" t="s">
        <v>668</v>
      </c>
      <c r="G102" s="3"/>
      <c r="H102" s="17" t="s">
        <v>917</v>
      </c>
      <c r="I102" s="28" t="s">
        <v>488</v>
      </c>
      <c r="J102" s="3" t="s">
        <v>556</v>
      </c>
      <c r="K102" s="27">
        <v>28952</v>
      </c>
      <c r="L102" s="42">
        <v>38910</v>
      </c>
      <c r="M102" s="3"/>
      <c r="N102" s="3" t="s">
        <v>1506</v>
      </c>
      <c r="O102" s="3"/>
      <c r="P102" s="3"/>
      <c r="Q102" s="39">
        <v>40388</v>
      </c>
      <c r="R102" s="39">
        <f t="shared" si="2"/>
        <v>1327.8246575342466</v>
      </c>
      <c r="S102" s="39">
        <f t="shared" si="3"/>
        <v>165.97808219178083</v>
      </c>
      <c r="T102" s="3" t="s">
        <v>1105</v>
      </c>
      <c r="U102" s="45" t="s">
        <v>1429</v>
      </c>
      <c r="V102" s="1" t="s">
        <v>1441</v>
      </c>
      <c r="W102" s="1" t="s">
        <v>1453</v>
      </c>
      <c r="X102" s="1" t="s">
        <v>1465</v>
      </c>
      <c r="Y102" s="3" t="s">
        <v>1307</v>
      </c>
      <c r="Z102" s="3"/>
      <c r="AA102" s="3"/>
      <c r="AB102" s="1" t="s">
        <v>1481</v>
      </c>
      <c r="AC102" s="41"/>
      <c r="AD102" s="41"/>
      <c r="AE102" s="3"/>
      <c r="AF102" s="3" t="s">
        <v>1396</v>
      </c>
      <c r="AG102" s="3"/>
      <c r="AH102" s="3"/>
      <c r="AI102" s="3">
        <v>365</v>
      </c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</row>
    <row r="103" spans="1:112" x14ac:dyDescent="0.25">
      <c r="A103" s="3">
        <v>102</v>
      </c>
      <c r="B103" s="13" t="s">
        <v>754</v>
      </c>
      <c r="C103" s="3"/>
      <c r="D103" s="17" t="s">
        <v>592</v>
      </c>
      <c r="E103" s="3" t="s">
        <v>836</v>
      </c>
      <c r="F103" s="17" t="s">
        <v>669</v>
      </c>
      <c r="G103" s="3"/>
      <c r="H103" s="17" t="s">
        <v>918</v>
      </c>
      <c r="I103" s="28" t="s">
        <v>1005</v>
      </c>
      <c r="J103" s="3" t="s">
        <v>1408</v>
      </c>
      <c r="K103" s="27">
        <v>23318</v>
      </c>
      <c r="L103" s="42">
        <v>41045</v>
      </c>
      <c r="M103" s="3"/>
      <c r="N103" s="3" t="s">
        <v>1507</v>
      </c>
      <c r="O103" s="3"/>
      <c r="P103" s="3"/>
      <c r="Q103" s="39">
        <v>80000</v>
      </c>
      <c r="R103" s="39">
        <f t="shared" si="2"/>
        <v>2630.1369863013697</v>
      </c>
      <c r="S103" s="39">
        <f t="shared" si="3"/>
        <v>328.76712328767121</v>
      </c>
      <c r="T103" s="3" t="s">
        <v>1471</v>
      </c>
      <c r="U103" s="45" t="s">
        <v>1430</v>
      </c>
      <c r="V103" s="1" t="s">
        <v>1442</v>
      </c>
      <c r="W103" s="1" t="s">
        <v>1454</v>
      </c>
      <c r="X103" s="1" t="s">
        <v>1466</v>
      </c>
      <c r="Y103" s="3" t="s">
        <v>1307</v>
      </c>
      <c r="Z103" s="3"/>
      <c r="AA103" s="3"/>
      <c r="AB103" s="1" t="s">
        <v>1482</v>
      </c>
      <c r="AC103" s="41"/>
      <c r="AD103" s="41"/>
      <c r="AE103" s="3"/>
      <c r="AF103" s="3" t="s">
        <v>1396</v>
      </c>
      <c r="AG103" s="3"/>
      <c r="AH103" s="3"/>
      <c r="AI103" s="3">
        <v>365</v>
      </c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</row>
    <row r="104" spans="1:112" x14ac:dyDescent="0.25">
      <c r="A104" s="3"/>
      <c r="B104" s="13" t="s">
        <v>755</v>
      </c>
      <c r="C104" s="3"/>
      <c r="D104" s="17" t="s">
        <v>593</v>
      </c>
      <c r="E104" s="3" t="s">
        <v>837</v>
      </c>
      <c r="F104" s="17" t="s">
        <v>670</v>
      </c>
      <c r="G104" s="3"/>
      <c r="H104" s="17" t="s">
        <v>919</v>
      </c>
      <c r="I104" s="25" t="s">
        <v>1006</v>
      </c>
      <c r="J104" s="3" t="s">
        <v>1413</v>
      </c>
      <c r="K104" s="27">
        <v>30945</v>
      </c>
      <c r="L104" s="42">
        <v>45702</v>
      </c>
      <c r="M104" s="3"/>
      <c r="N104" s="3" t="s">
        <v>1501</v>
      </c>
      <c r="O104" s="3"/>
      <c r="P104" s="3"/>
      <c r="Q104" s="39">
        <v>21007</v>
      </c>
      <c r="R104" s="39">
        <f t="shared" si="2"/>
        <v>690.64109589041095</v>
      </c>
      <c r="S104" s="39">
        <f t="shared" si="3"/>
        <v>86.330136986301369</v>
      </c>
      <c r="T104" s="3" t="s">
        <v>1105</v>
      </c>
      <c r="U104" s="45">
        <v>3403315726</v>
      </c>
      <c r="V104" s="1" t="s">
        <v>1443</v>
      </c>
      <c r="W104" s="1" t="s">
        <v>1455</v>
      </c>
      <c r="X104" s="1">
        <v>253717650</v>
      </c>
      <c r="Y104" s="3" t="s">
        <v>1307</v>
      </c>
      <c r="Z104" s="3"/>
      <c r="AA104" s="3"/>
      <c r="AB104" s="1" t="s">
        <v>1483</v>
      </c>
      <c r="AC104" s="41"/>
      <c r="AD104" s="41"/>
      <c r="AE104" s="3"/>
      <c r="AF104" s="3" t="s">
        <v>1396</v>
      </c>
      <c r="AG104" s="3"/>
      <c r="AH104" s="3"/>
      <c r="AI104" s="3">
        <v>365</v>
      </c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</row>
    <row r="105" spans="1:112" x14ac:dyDescent="0.25">
      <c r="A105" s="3">
        <v>33</v>
      </c>
      <c r="B105" s="20" t="s">
        <v>756</v>
      </c>
      <c r="C105" s="3"/>
      <c r="D105" s="16" t="s">
        <v>594</v>
      </c>
      <c r="E105" s="3" t="s">
        <v>838</v>
      </c>
      <c r="F105" s="16" t="s">
        <v>671</v>
      </c>
      <c r="G105" s="3"/>
      <c r="H105" s="17" t="s">
        <v>920</v>
      </c>
      <c r="I105" s="28" t="s">
        <v>1007</v>
      </c>
      <c r="J105" s="3" t="s">
        <v>556</v>
      </c>
      <c r="K105" s="27">
        <v>26064</v>
      </c>
      <c r="L105" s="42">
        <v>46127</v>
      </c>
      <c r="M105" s="3"/>
      <c r="N105" s="3" t="s">
        <v>1508</v>
      </c>
      <c r="O105" s="3"/>
      <c r="P105" s="3"/>
      <c r="Q105" s="39">
        <v>48000</v>
      </c>
      <c r="R105" s="39">
        <f t="shared" si="2"/>
        <v>1578.0821917808219</v>
      </c>
      <c r="S105" s="39">
        <f t="shared" si="3"/>
        <v>197.26027397260273</v>
      </c>
      <c r="T105" s="3" t="s">
        <v>1105</v>
      </c>
      <c r="U105" s="45" t="s">
        <v>1431</v>
      </c>
      <c r="V105" s="1" t="s">
        <v>1444</v>
      </c>
      <c r="W105" s="1" t="s">
        <v>1456</v>
      </c>
      <c r="X105" s="1" t="s">
        <v>1467</v>
      </c>
      <c r="Y105" s="3" t="s">
        <v>1307</v>
      </c>
      <c r="Z105" s="3"/>
      <c r="AA105" s="3"/>
      <c r="AB105" s="1" t="s">
        <v>1484</v>
      </c>
      <c r="AC105" s="41"/>
      <c r="AD105" s="41"/>
      <c r="AE105" s="3"/>
      <c r="AF105" s="3" t="s">
        <v>1398</v>
      </c>
      <c r="AG105" s="3"/>
      <c r="AH105" s="3"/>
      <c r="AI105" s="3">
        <v>365</v>
      </c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</row>
    <row r="106" spans="1:112" x14ac:dyDescent="0.25">
      <c r="A106" s="3">
        <v>95</v>
      </c>
      <c r="B106" s="20" t="s">
        <v>757</v>
      </c>
      <c r="C106" s="3"/>
      <c r="D106" s="16" t="s">
        <v>595</v>
      </c>
      <c r="E106" s="3" t="s">
        <v>839</v>
      </c>
      <c r="F106" s="16" t="s">
        <v>672</v>
      </c>
      <c r="G106" s="3"/>
      <c r="H106" s="17" t="s">
        <v>921</v>
      </c>
      <c r="I106" s="28" t="s">
        <v>1008</v>
      </c>
      <c r="J106" s="3" t="s">
        <v>1409</v>
      </c>
      <c r="K106" s="27">
        <v>30976</v>
      </c>
      <c r="L106" s="42">
        <v>46153</v>
      </c>
      <c r="M106" s="3"/>
      <c r="N106" s="3" t="s">
        <v>1502</v>
      </c>
      <c r="O106" s="3"/>
      <c r="P106" s="3"/>
      <c r="Q106" s="39">
        <v>30000</v>
      </c>
      <c r="R106" s="39">
        <f t="shared" si="2"/>
        <v>986.30136986301375</v>
      </c>
      <c r="S106" s="39">
        <f t="shared" si="3"/>
        <v>123.28767123287672</v>
      </c>
      <c r="T106" s="3" t="s">
        <v>1105</v>
      </c>
      <c r="U106" s="45">
        <v>3394446160</v>
      </c>
      <c r="V106" s="1" t="s">
        <v>1445</v>
      </c>
      <c r="W106" s="1" t="s">
        <v>1457</v>
      </c>
      <c r="X106" s="1" t="s">
        <v>1468</v>
      </c>
      <c r="Y106" s="3" t="s">
        <v>1307</v>
      </c>
      <c r="Z106" s="3"/>
      <c r="AA106" s="3"/>
      <c r="AB106" s="1" t="s">
        <v>1485</v>
      </c>
      <c r="AC106" s="41"/>
      <c r="AD106" s="41"/>
      <c r="AE106" s="3"/>
      <c r="AF106" s="3" t="s">
        <v>1398</v>
      </c>
      <c r="AG106" s="3"/>
      <c r="AH106" s="3"/>
      <c r="AI106" s="3">
        <v>365</v>
      </c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</row>
    <row r="107" spans="1:112" x14ac:dyDescent="0.25">
      <c r="A107" s="3">
        <v>202</v>
      </c>
      <c r="B107" s="18" t="s">
        <v>825</v>
      </c>
      <c r="C107" s="3"/>
      <c r="D107" s="19" t="s">
        <v>658</v>
      </c>
      <c r="E107" s="3" t="s">
        <v>842</v>
      </c>
      <c r="F107" s="19" t="s">
        <v>738</v>
      </c>
      <c r="G107" s="3"/>
      <c r="H107" s="17" t="s">
        <v>922</v>
      </c>
      <c r="I107" s="24" t="s">
        <v>1079</v>
      </c>
      <c r="J107" s="3" t="s">
        <v>1417</v>
      </c>
      <c r="K107" s="27">
        <v>29413</v>
      </c>
      <c r="L107" s="42">
        <v>46216</v>
      </c>
      <c r="M107" s="3"/>
      <c r="N107" s="3" t="s">
        <v>1509</v>
      </c>
      <c r="O107" s="3"/>
      <c r="P107" s="3"/>
      <c r="Q107" s="39">
        <v>60000</v>
      </c>
      <c r="R107" s="39">
        <f t="shared" si="2"/>
        <v>1972.6027397260275</v>
      </c>
      <c r="S107" s="39">
        <f t="shared" si="3"/>
        <v>246.57534246575344</v>
      </c>
      <c r="T107" s="3" t="s">
        <v>1106</v>
      </c>
      <c r="U107" s="45" t="s">
        <v>1432</v>
      </c>
      <c r="V107" s="3"/>
      <c r="W107" s="1" t="s">
        <v>1458</v>
      </c>
      <c r="X107" s="1" t="s">
        <v>1469</v>
      </c>
      <c r="Y107" s="3" t="s">
        <v>1307</v>
      </c>
      <c r="Z107" s="3"/>
      <c r="AA107" s="3"/>
      <c r="AB107" s="1" t="s">
        <v>1486</v>
      </c>
      <c r="AC107" s="41"/>
      <c r="AD107" s="41"/>
      <c r="AE107" s="3"/>
      <c r="AF107" s="3" t="s">
        <v>1398</v>
      </c>
      <c r="AG107" s="3"/>
      <c r="AH107" s="3"/>
      <c r="AI107" s="3">
        <v>365</v>
      </c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</row>
    <row r="108" spans="1:112" x14ac:dyDescent="0.25">
      <c r="A108" s="3">
        <v>65</v>
      </c>
      <c r="B108" s="18"/>
      <c r="C108" s="3"/>
      <c r="D108" s="19" t="s">
        <v>843</v>
      </c>
      <c r="E108" s="3" t="s">
        <v>844</v>
      </c>
      <c r="F108" s="19" t="s">
        <v>845</v>
      </c>
      <c r="G108" s="3"/>
      <c r="H108" s="17" t="s">
        <v>923</v>
      </c>
      <c r="I108" s="24" t="s">
        <v>1071</v>
      </c>
      <c r="J108" s="3" t="s">
        <v>1418</v>
      </c>
      <c r="K108" s="44"/>
      <c r="L108" s="42">
        <v>44958</v>
      </c>
      <c r="M108" s="3"/>
      <c r="N108" s="3" t="s">
        <v>1399</v>
      </c>
      <c r="O108" s="3"/>
      <c r="P108" s="3"/>
      <c r="Q108" s="39"/>
      <c r="R108" s="39"/>
      <c r="S108" s="39">
        <v>641.02564102564099</v>
      </c>
      <c r="T108" s="3" t="s">
        <v>1106</v>
      </c>
      <c r="U108" s="36"/>
      <c r="V108" s="36"/>
      <c r="W108" s="36"/>
      <c r="X108" s="3"/>
      <c r="Y108" s="3" t="s">
        <v>1307</v>
      </c>
      <c r="Z108" s="3"/>
      <c r="AA108" s="3"/>
      <c r="AB108" s="1" t="s">
        <v>1487</v>
      </c>
      <c r="AC108" s="41"/>
      <c r="AD108" s="41"/>
      <c r="AE108" s="3"/>
      <c r="AF108" s="3" t="s">
        <v>1399</v>
      </c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</row>
    <row r="109" spans="1:112" x14ac:dyDescent="0.25">
      <c r="A109" s="3">
        <v>77</v>
      </c>
      <c r="B109" s="18" t="s">
        <v>822</v>
      </c>
      <c r="C109" s="3"/>
      <c r="D109" s="19" t="s">
        <v>655</v>
      </c>
      <c r="E109" s="3" t="s">
        <v>735</v>
      </c>
      <c r="F109" s="19" t="s">
        <v>735</v>
      </c>
      <c r="G109" s="3"/>
      <c r="H109" s="17" t="s">
        <v>924</v>
      </c>
      <c r="I109" s="30" t="s">
        <v>1012</v>
      </c>
      <c r="J109" s="3" t="s">
        <v>1416</v>
      </c>
      <c r="K109" s="44"/>
      <c r="L109" s="42">
        <v>45200</v>
      </c>
      <c r="M109" s="3"/>
      <c r="N109" s="3" t="s">
        <v>1399</v>
      </c>
      <c r="O109" s="3"/>
      <c r="P109" s="3"/>
      <c r="Q109" s="39"/>
      <c r="R109" s="39"/>
      <c r="S109" s="39">
        <v>400</v>
      </c>
      <c r="T109" s="3" t="s">
        <v>1105</v>
      </c>
      <c r="U109" s="36"/>
      <c r="V109" s="36"/>
      <c r="W109" s="36"/>
      <c r="X109" s="3"/>
      <c r="Y109" s="3" t="s">
        <v>1307</v>
      </c>
      <c r="Z109" s="3"/>
      <c r="AA109" s="3"/>
      <c r="AB109" s="1" t="s">
        <v>1488</v>
      </c>
      <c r="AC109" s="41"/>
      <c r="AD109" s="41"/>
      <c r="AE109" s="3"/>
      <c r="AF109" s="3" t="s">
        <v>1399</v>
      </c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</row>
    <row r="110" spans="1:112" x14ac:dyDescent="0.25">
      <c r="A110" s="3"/>
      <c r="B110" s="18"/>
      <c r="C110" s="3"/>
      <c r="D110" s="19" t="s">
        <v>1497</v>
      </c>
      <c r="E110" s="3"/>
      <c r="F110" s="19" t="s">
        <v>1510</v>
      </c>
      <c r="G110" s="3"/>
      <c r="H110" s="17"/>
      <c r="I110" s="30"/>
      <c r="J110" s="3"/>
      <c r="K110" s="44"/>
      <c r="L110" s="42">
        <v>44958</v>
      </c>
      <c r="M110" s="3"/>
      <c r="N110" s="3" t="s">
        <v>1399</v>
      </c>
      <c r="O110" s="3"/>
      <c r="P110" s="3"/>
      <c r="Q110" s="39"/>
      <c r="R110" s="39"/>
      <c r="S110" s="39">
        <v>237.5</v>
      </c>
      <c r="T110" s="46" t="s">
        <v>1106</v>
      </c>
      <c r="U110" s="36"/>
      <c r="V110" s="36"/>
      <c r="W110" s="36"/>
      <c r="X110" s="3"/>
      <c r="Y110" s="3" t="s">
        <v>1307</v>
      </c>
      <c r="Z110" s="3"/>
      <c r="AA110" s="3"/>
      <c r="AB110" s="1" t="s">
        <v>1489</v>
      </c>
      <c r="AC110" s="41"/>
      <c r="AD110" s="41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</row>
    <row r="111" spans="1:112" x14ac:dyDescent="0.25">
      <c r="A111" s="3"/>
      <c r="B111" s="18"/>
      <c r="C111" s="3"/>
      <c r="D111" s="19" t="s">
        <v>846</v>
      </c>
      <c r="E111" s="3" t="s">
        <v>849</v>
      </c>
      <c r="F111" s="19" t="s">
        <v>847</v>
      </c>
      <c r="G111" s="3"/>
      <c r="H111" s="17" t="s">
        <v>925</v>
      </c>
      <c r="I111" s="24" t="s">
        <v>1078</v>
      </c>
      <c r="J111" s="3" t="s">
        <v>563</v>
      </c>
      <c r="K111" s="27">
        <v>36396</v>
      </c>
      <c r="L111" s="42">
        <v>46085</v>
      </c>
      <c r="M111" s="3"/>
      <c r="N111" s="3" t="s">
        <v>1399</v>
      </c>
      <c r="O111" s="3"/>
      <c r="P111" s="3"/>
      <c r="Q111" s="39"/>
      <c r="R111" s="39"/>
      <c r="S111" s="39">
        <v>173.07692307692324</v>
      </c>
      <c r="T111" s="46" t="s">
        <v>1106</v>
      </c>
      <c r="U111" s="36"/>
      <c r="V111" s="36"/>
      <c r="W111" s="36"/>
      <c r="X111" s="3"/>
      <c r="Y111" s="3" t="s">
        <v>1307</v>
      </c>
      <c r="Z111" s="3"/>
      <c r="AA111" s="3"/>
      <c r="AB111" s="1" t="s">
        <v>1490</v>
      </c>
      <c r="AC111" s="41"/>
      <c r="AD111" s="41"/>
      <c r="AE111" s="3"/>
      <c r="AF111" s="3" t="s">
        <v>1399</v>
      </c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</row>
    <row r="112" spans="1:112" x14ac:dyDescent="0.25">
      <c r="A112" s="3"/>
      <c r="B112" s="18" t="s">
        <v>826</v>
      </c>
      <c r="C112" s="3"/>
      <c r="D112" s="19" t="s">
        <v>659</v>
      </c>
      <c r="E112" s="3" t="s">
        <v>1074</v>
      </c>
      <c r="F112" s="19" t="s">
        <v>740</v>
      </c>
      <c r="G112" s="3"/>
      <c r="H112" s="17" t="s">
        <v>926</v>
      </c>
      <c r="I112" s="24" t="s">
        <v>508</v>
      </c>
      <c r="J112" s="3" t="s">
        <v>556</v>
      </c>
      <c r="K112" s="27">
        <v>27974</v>
      </c>
      <c r="L112" s="42">
        <v>45352</v>
      </c>
      <c r="M112" s="3"/>
      <c r="N112" s="3" t="s">
        <v>1399</v>
      </c>
      <c r="O112" s="3"/>
      <c r="P112" s="3"/>
      <c r="Q112" s="39"/>
      <c r="R112" s="39"/>
      <c r="S112" s="39">
        <v>641.02557692307698</v>
      </c>
      <c r="T112" s="46" t="s">
        <v>1106</v>
      </c>
      <c r="U112" s="36"/>
      <c r="V112" s="36"/>
      <c r="W112" s="36"/>
      <c r="X112" s="3"/>
      <c r="Y112" s="3" t="s">
        <v>1307</v>
      </c>
      <c r="Z112" s="3"/>
      <c r="AA112" s="3"/>
      <c r="AB112" s="1"/>
      <c r="AC112" s="41"/>
      <c r="AD112" s="41"/>
      <c r="AE112" s="3"/>
      <c r="AF112" s="3" t="s">
        <v>1399</v>
      </c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</row>
    <row r="113" spans="1:112" x14ac:dyDescent="0.25">
      <c r="A113" s="3"/>
      <c r="B113" s="20" t="s">
        <v>821</v>
      </c>
      <c r="C113" s="3"/>
      <c r="D113" s="21" t="s">
        <v>653</v>
      </c>
      <c r="E113" s="3"/>
      <c r="F113" s="21" t="s">
        <v>734</v>
      </c>
      <c r="G113" s="3"/>
      <c r="H113" s="17" t="s">
        <v>927</v>
      </c>
      <c r="I113" s="24" t="s">
        <v>1014</v>
      </c>
      <c r="J113" s="3" t="s">
        <v>561</v>
      </c>
      <c r="K113" s="44"/>
      <c r="L113" s="42">
        <v>45931</v>
      </c>
      <c r="M113" s="3"/>
      <c r="N113" s="3" t="s">
        <v>1399</v>
      </c>
      <c r="O113" s="3"/>
      <c r="P113" s="3"/>
      <c r="Q113" s="39"/>
      <c r="R113" s="39"/>
      <c r="S113" s="39">
        <v>576.92307692307691</v>
      </c>
      <c r="T113" s="46" t="s">
        <v>1105</v>
      </c>
      <c r="U113" s="36"/>
      <c r="V113" s="36"/>
      <c r="W113" s="36"/>
      <c r="X113" s="3"/>
      <c r="Y113" s="3" t="s">
        <v>1307</v>
      </c>
      <c r="Z113" s="3"/>
      <c r="AA113" s="3"/>
      <c r="AB113" s="1" t="s">
        <v>1491</v>
      </c>
      <c r="AC113" s="41"/>
      <c r="AD113" s="41"/>
      <c r="AE113" s="3"/>
      <c r="AF113" s="3" t="s">
        <v>1399</v>
      </c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</row>
    <row r="114" spans="1:112" x14ac:dyDescent="0.25">
      <c r="A114" s="3"/>
      <c r="B114" s="20" t="s">
        <v>820</v>
      </c>
      <c r="C114" s="3"/>
      <c r="D114" s="21" t="s">
        <v>654</v>
      </c>
      <c r="E114" s="3" t="s">
        <v>739</v>
      </c>
      <c r="F114" s="21" t="s">
        <v>733</v>
      </c>
      <c r="G114" s="3"/>
      <c r="H114" s="17" t="s">
        <v>931</v>
      </c>
      <c r="I114" s="24"/>
      <c r="J114" s="3"/>
      <c r="K114" s="44"/>
      <c r="L114" s="42">
        <v>45969</v>
      </c>
      <c r="M114" s="3"/>
      <c r="N114" s="3" t="s">
        <v>1399</v>
      </c>
      <c r="O114" s="3"/>
      <c r="P114" s="3"/>
      <c r="Q114" s="39"/>
      <c r="R114" s="39"/>
      <c r="S114" s="39">
        <v>576.92307692307691</v>
      </c>
      <c r="T114" s="46" t="s">
        <v>1105</v>
      </c>
      <c r="U114" s="36"/>
      <c r="V114" s="36"/>
      <c r="W114" s="36"/>
      <c r="X114" s="3"/>
      <c r="Y114" s="3" t="s">
        <v>1307</v>
      </c>
      <c r="Z114" s="3"/>
      <c r="AA114" s="3"/>
      <c r="AB114" s="1"/>
      <c r="AC114" s="41"/>
      <c r="AD114" s="41"/>
      <c r="AE114" s="3"/>
      <c r="AF114" s="3" t="s">
        <v>1399</v>
      </c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</row>
    <row r="115" spans="1:112" x14ac:dyDescent="0.25">
      <c r="A115" s="3"/>
      <c r="B115" s="20" t="s">
        <v>817</v>
      </c>
      <c r="C115" s="3"/>
      <c r="D115" s="21" t="s">
        <v>651</v>
      </c>
      <c r="E115" s="3" t="s">
        <v>850</v>
      </c>
      <c r="F115" s="21" t="s">
        <v>730</v>
      </c>
      <c r="G115" s="3"/>
      <c r="H115" s="17" t="s">
        <v>928</v>
      </c>
      <c r="I115" s="24" t="s">
        <v>1077</v>
      </c>
      <c r="J115" s="3" t="s">
        <v>556</v>
      </c>
      <c r="K115" s="44"/>
      <c r="L115" s="42">
        <v>46140</v>
      </c>
      <c r="M115" s="3"/>
      <c r="N115" s="3" t="s">
        <v>1399</v>
      </c>
      <c r="O115" s="3"/>
      <c r="P115" s="3"/>
      <c r="Q115" s="39"/>
      <c r="R115" s="39"/>
      <c r="S115" s="39">
        <v>400</v>
      </c>
      <c r="T115" s="46" t="s">
        <v>1106</v>
      </c>
      <c r="U115" s="36"/>
      <c r="V115" s="36"/>
      <c r="W115" s="36"/>
      <c r="X115" s="3"/>
      <c r="Y115" s="3" t="s">
        <v>1307</v>
      </c>
      <c r="Z115" s="3"/>
      <c r="AA115" s="3"/>
      <c r="AB115" s="1" t="s">
        <v>1492</v>
      </c>
      <c r="AC115" s="41"/>
      <c r="AD115" s="41"/>
      <c r="AE115" s="3"/>
      <c r="AF115" s="3" t="s">
        <v>1399</v>
      </c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</row>
    <row r="116" spans="1:112" x14ac:dyDescent="0.25">
      <c r="A116" s="3"/>
      <c r="B116" s="20" t="s">
        <v>818</v>
      </c>
      <c r="C116" s="3"/>
      <c r="D116" s="21" t="s">
        <v>652</v>
      </c>
      <c r="E116" s="3" t="s">
        <v>851</v>
      </c>
      <c r="F116" s="21" t="s">
        <v>731</v>
      </c>
      <c r="G116" s="3"/>
      <c r="H116" s="17" t="s">
        <v>929</v>
      </c>
      <c r="I116" s="24" t="s">
        <v>1015</v>
      </c>
      <c r="J116" s="3" t="s">
        <v>556</v>
      </c>
      <c r="K116" s="27">
        <v>36295</v>
      </c>
      <c r="L116" s="42">
        <v>46148</v>
      </c>
      <c r="M116" s="3"/>
      <c r="N116" s="3" t="s">
        <v>1399</v>
      </c>
      <c r="O116" s="3"/>
      <c r="P116" s="3"/>
      <c r="Q116" s="39"/>
      <c r="R116" s="39"/>
      <c r="S116" s="39">
        <v>1000</v>
      </c>
      <c r="T116" s="46" t="s">
        <v>1105</v>
      </c>
      <c r="U116" s="36"/>
      <c r="V116" s="36"/>
      <c r="W116" s="36"/>
      <c r="X116" s="3"/>
      <c r="Y116" s="3" t="s">
        <v>1307</v>
      </c>
      <c r="Z116" s="3"/>
      <c r="AA116" s="3"/>
      <c r="AB116" s="1" t="s">
        <v>1493</v>
      </c>
      <c r="AC116" s="41"/>
      <c r="AD116" s="41"/>
      <c r="AE116" s="3"/>
      <c r="AF116" s="3" t="s">
        <v>1399</v>
      </c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</row>
    <row r="117" spans="1:112" x14ac:dyDescent="0.25">
      <c r="A117" s="3"/>
      <c r="B117" s="20" t="s">
        <v>819</v>
      </c>
      <c r="C117" s="3"/>
      <c r="D117" s="21" t="s">
        <v>653</v>
      </c>
      <c r="E117" s="3" t="s">
        <v>852</v>
      </c>
      <c r="F117" s="21" t="s">
        <v>732</v>
      </c>
      <c r="G117" s="3"/>
      <c r="H117" s="17" t="s">
        <v>930</v>
      </c>
      <c r="I117" s="24" t="s">
        <v>1072</v>
      </c>
      <c r="J117" s="3" t="s">
        <v>556</v>
      </c>
      <c r="K117" s="44"/>
      <c r="L117" s="42">
        <v>46200</v>
      </c>
      <c r="M117" s="3"/>
      <c r="N117" s="3" t="s">
        <v>1399</v>
      </c>
      <c r="O117" s="3"/>
      <c r="P117" s="3"/>
      <c r="Q117" s="39"/>
      <c r="R117" s="39"/>
      <c r="S117" s="39">
        <v>184.61538461538461</v>
      </c>
      <c r="T117" s="46" t="s">
        <v>1106</v>
      </c>
      <c r="U117" s="36"/>
      <c r="V117" s="36"/>
      <c r="W117" s="36"/>
      <c r="X117" s="3"/>
      <c r="Y117" s="3" t="s">
        <v>1307</v>
      </c>
      <c r="Z117" s="3"/>
      <c r="AA117" s="3"/>
      <c r="AB117" s="1" t="s">
        <v>1494</v>
      </c>
      <c r="AC117" s="41"/>
      <c r="AD117" s="41"/>
      <c r="AE117" s="3"/>
      <c r="AF117" s="3" t="s">
        <v>1399</v>
      </c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</row>
    <row r="118" spans="1:112" x14ac:dyDescent="0.25">
      <c r="A118" s="3"/>
      <c r="B118" s="18" t="s">
        <v>823</v>
      </c>
      <c r="C118" s="3"/>
      <c r="D118" s="19" t="s">
        <v>656</v>
      </c>
      <c r="E118" s="3" t="s">
        <v>1075</v>
      </c>
      <c r="F118" s="19" t="s">
        <v>736</v>
      </c>
      <c r="G118" s="3"/>
      <c r="H118" s="17" t="s">
        <v>932</v>
      </c>
      <c r="I118" s="24" t="s">
        <v>1076</v>
      </c>
      <c r="J118" s="3" t="s">
        <v>561</v>
      </c>
      <c r="K118" s="44"/>
      <c r="L118" s="42">
        <v>46197</v>
      </c>
      <c r="M118" s="3"/>
      <c r="N118" s="3" t="s">
        <v>1399</v>
      </c>
      <c r="O118" s="3"/>
      <c r="P118" s="3"/>
      <c r="Q118" s="39"/>
      <c r="R118" s="39"/>
      <c r="S118" s="39">
        <v>300</v>
      </c>
      <c r="T118" s="46" t="s">
        <v>1105</v>
      </c>
      <c r="U118" s="36"/>
      <c r="V118" s="36"/>
      <c r="W118" s="36"/>
      <c r="X118" s="3"/>
      <c r="Y118" s="3" t="s">
        <v>1307</v>
      </c>
      <c r="Z118" s="3"/>
      <c r="AA118" s="3"/>
      <c r="AB118" s="1" t="s">
        <v>1495</v>
      </c>
      <c r="AC118" s="41"/>
      <c r="AD118" s="41"/>
      <c r="AE118" s="3"/>
      <c r="AF118" s="3" t="s">
        <v>1399</v>
      </c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</row>
    <row r="119" spans="1:112" x14ac:dyDescent="0.25">
      <c r="A119" s="3"/>
      <c r="B119" s="18" t="s">
        <v>824</v>
      </c>
      <c r="C119" s="3"/>
      <c r="D119" s="19" t="s">
        <v>657</v>
      </c>
      <c r="E119" s="3" t="s">
        <v>853</v>
      </c>
      <c r="F119" s="19" t="s">
        <v>737</v>
      </c>
      <c r="G119" s="3"/>
      <c r="H119" s="17" t="s">
        <v>933</v>
      </c>
      <c r="I119" s="24" t="s">
        <v>1073</v>
      </c>
      <c r="J119" s="3" t="s">
        <v>561</v>
      </c>
      <c r="K119" s="44"/>
      <c r="L119" s="43"/>
      <c r="M119" s="3"/>
      <c r="N119" s="3" t="s">
        <v>1399</v>
      </c>
      <c r="O119" s="3"/>
      <c r="P119" s="3"/>
      <c r="Q119" s="39"/>
      <c r="R119" s="39"/>
      <c r="S119" s="39">
        <v>300</v>
      </c>
      <c r="T119" s="46" t="s">
        <v>1105</v>
      </c>
      <c r="U119" s="36"/>
      <c r="V119" s="36"/>
      <c r="W119" s="36"/>
      <c r="X119" s="3"/>
      <c r="Y119" s="3" t="s">
        <v>1307</v>
      </c>
      <c r="Z119" s="3"/>
      <c r="AA119" s="3"/>
      <c r="AB119" s="1" t="s">
        <v>1496</v>
      </c>
      <c r="AC119" s="41"/>
      <c r="AD119" s="41"/>
      <c r="AE119" s="3"/>
      <c r="AF119" s="3" t="s">
        <v>1399</v>
      </c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</row>
    <row r="120" spans="1:112" x14ac:dyDescent="0.25">
      <c r="A120" s="3"/>
      <c r="B120" s="18"/>
      <c r="C120" s="3"/>
      <c r="D120" s="19" t="s">
        <v>622</v>
      </c>
      <c r="E120" s="3"/>
      <c r="F120" s="19" t="s">
        <v>848</v>
      </c>
      <c r="G120" s="3"/>
      <c r="H120" s="17" t="s">
        <v>934</v>
      </c>
      <c r="I120" s="24"/>
      <c r="J120" s="3" t="s">
        <v>561</v>
      </c>
      <c r="K120" s="44"/>
      <c r="L120" s="42">
        <v>46286</v>
      </c>
      <c r="M120" s="3"/>
      <c r="N120" s="3" t="s">
        <v>1399</v>
      </c>
      <c r="O120" s="3"/>
      <c r="P120" s="3"/>
      <c r="Q120" s="39"/>
      <c r="R120" s="39"/>
      <c r="S120" s="39">
        <v>500</v>
      </c>
      <c r="T120" s="46" t="s">
        <v>1106</v>
      </c>
      <c r="U120" s="36"/>
      <c r="V120" s="36"/>
      <c r="W120" s="36"/>
      <c r="X120" s="3"/>
      <c r="Y120" s="3" t="s">
        <v>1307</v>
      </c>
      <c r="Z120" s="3"/>
      <c r="AA120" s="3"/>
      <c r="AB120" s="1"/>
      <c r="AC120" s="41"/>
      <c r="AD120" s="41"/>
      <c r="AE120" s="3"/>
      <c r="AF120" s="3" t="s">
        <v>1399</v>
      </c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</row>
    <row r="121" spans="1:112" x14ac:dyDescent="0.25">
      <c r="A121" s="3">
        <v>15</v>
      </c>
      <c r="B121" s="13" t="s">
        <v>758</v>
      </c>
      <c r="C121" s="3"/>
      <c r="D121" s="16" t="s">
        <v>596</v>
      </c>
      <c r="E121" s="3" t="s">
        <v>854</v>
      </c>
      <c r="F121" s="16" t="s">
        <v>673</v>
      </c>
      <c r="G121" s="3"/>
      <c r="H121" s="17" t="s">
        <v>935</v>
      </c>
      <c r="I121" s="24" t="s">
        <v>1003</v>
      </c>
      <c r="J121" s="3" t="s">
        <v>556</v>
      </c>
      <c r="K121" s="27"/>
      <c r="M121" s="3"/>
      <c r="N121" s="3"/>
      <c r="O121" s="3"/>
      <c r="P121" s="3"/>
      <c r="Q121" s="39"/>
      <c r="R121" s="39"/>
      <c r="S121" s="39"/>
      <c r="T121" s="3"/>
      <c r="U121" s="3"/>
      <c r="V121" s="3"/>
      <c r="W121" s="3"/>
      <c r="X121" s="3"/>
      <c r="Y121" s="3" t="s">
        <v>1307</v>
      </c>
      <c r="Z121" s="3"/>
      <c r="AA121" s="3"/>
      <c r="AB121" s="1"/>
      <c r="AC121" s="41"/>
      <c r="AD121" s="41"/>
      <c r="AE121" s="3"/>
      <c r="AF121" s="3" t="s">
        <v>1396</v>
      </c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</row>
    <row r="122" spans="1:112" x14ac:dyDescent="0.25">
      <c r="A122" s="3">
        <v>170</v>
      </c>
      <c r="B122" s="20" t="s">
        <v>759</v>
      </c>
      <c r="C122" s="3"/>
      <c r="D122" s="16" t="s">
        <v>597</v>
      </c>
      <c r="E122" s="3" t="s">
        <v>855</v>
      </c>
      <c r="F122" s="16" t="s">
        <v>674</v>
      </c>
      <c r="G122" s="3"/>
      <c r="H122" s="17" t="s">
        <v>936</v>
      </c>
      <c r="I122" s="25" t="s">
        <v>1021</v>
      </c>
      <c r="J122" s="3" t="s">
        <v>556</v>
      </c>
      <c r="K122" s="27"/>
      <c r="L122" s="3"/>
      <c r="M122" s="3"/>
      <c r="N122" s="3"/>
      <c r="O122" s="3"/>
      <c r="P122" s="3"/>
      <c r="Q122" s="39"/>
      <c r="R122" s="39"/>
      <c r="S122" s="39"/>
      <c r="T122" s="3"/>
      <c r="U122" s="3"/>
      <c r="V122" s="3"/>
      <c r="W122" s="3"/>
      <c r="X122" s="3"/>
      <c r="Y122" s="3"/>
      <c r="Z122" s="3"/>
      <c r="AA122" s="3"/>
      <c r="AB122" s="3"/>
      <c r="AC122" s="41"/>
      <c r="AD122" s="41"/>
      <c r="AE122" s="3"/>
      <c r="AF122" s="3" t="s">
        <v>1396</v>
      </c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</row>
    <row r="123" spans="1:112" x14ac:dyDescent="0.25">
      <c r="A123" s="3">
        <v>87</v>
      </c>
      <c r="B123" s="13" t="s">
        <v>760</v>
      </c>
      <c r="C123" s="3"/>
      <c r="D123" s="16" t="s">
        <v>591</v>
      </c>
      <c r="E123" s="3" t="s">
        <v>856</v>
      </c>
      <c r="F123" s="16" t="s">
        <v>675</v>
      </c>
      <c r="G123" s="3"/>
      <c r="H123" s="17" t="s">
        <v>937</v>
      </c>
      <c r="I123" s="25" t="s">
        <v>1024</v>
      </c>
      <c r="J123" s="3" t="s">
        <v>1408</v>
      </c>
      <c r="K123" s="27"/>
      <c r="L123" s="3"/>
      <c r="M123" s="3"/>
      <c r="N123" s="3"/>
      <c r="O123" s="3"/>
      <c r="P123" s="3"/>
      <c r="Q123" s="39"/>
      <c r="R123" s="39"/>
      <c r="S123" s="39"/>
      <c r="T123" s="3"/>
      <c r="U123" s="3"/>
      <c r="V123" s="3"/>
      <c r="W123" s="3"/>
      <c r="X123" s="3"/>
      <c r="Y123" s="3" t="s">
        <v>1307</v>
      </c>
      <c r="Z123" s="3"/>
      <c r="AA123" s="3"/>
      <c r="AB123" s="3"/>
      <c r="AC123" s="41"/>
      <c r="AD123" s="41"/>
      <c r="AE123" s="3"/>
      <c r="AF123" s="3" t="s">
        <v>1396</v>
      </c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</row>
    <row r="124" spans="1:112" x14ac:dyDescent="0.25">
      <c r="A124" s="3">
        <v>38</v>
      </c>
      <c r="B124" s="22" t="s">
        <v>761</v>
      </c>
      <c r="C124" s="3"/>
      <c r="D124" s="19" t="s">
        <v>598</v>
      </c>
      <c r="E124" s="3"/>
      <c r="F124" s="19" t="s">
        <v>676</v>
      </c>
      <c r="G124" s="3"/>
      <c r="H124" s="17" t="s">
        <v>1011</v>
      </c>
      <c r="I124" s="28" t="s">
        <v>1010</v>
      </c>
      <c r="J124" s="3" t="s">
        <v>556</v>
      </c>
      <c r="K124" s="27"/>
      <c r="L124" s="3"/>
      <c r="M124" s="3"/>
      <c r="N124" s="3"/>
      <c r="O124" s="3"/>
      <c r="P124" s="3"/>
      <c r="Q124" s="39"/>
      <c r="R124" s="39"/>
      <c r="S124" s="39"/>
      <c r="T124" s="3"/>
      <c r="U124" s="3"/>
      <c r="V124" s="3"/>
      <c r="W124" s="3"/>
      <c r="X124" s="3"/>
      <c r="Y124" s="3" t="s">
        <v>1307</v>
      </c>
      <c r="Z124" s="3"/>
      <c r="AA124" s="3"/>
      <c r="AB124" s="3"/>
      <c r="AC124" s="41"/>
      <c r="AD124" s="41"/>
      <c r="AE124" s="3"/>
      <c r="AF124" s="3" t="s">
        <v>1396</v>
      </c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</row>
    <row r="125" spans="1:112" x14ac:dyDescent="0.25">
      <c r="A125" s="3">
        <v>45</v>
      </c>
      <c r="B125" s="22" t="s">
        <v>762</v>
      </c>
      <c r="C125" s="3"/>
      <c r="D125" s="19" t="s">
        <v>599</v>
      </c>
      <c r="E125" s="3" t="s">
        <v>857</v>
      </c>
      <c r="F125" s="19" t="s">
        <v>677</v>
      </c>
      <c r="G125" s="3"/>
      <c r="H125" s="17" t="s">
        <v>938</v>
      </c>
      <c r="I125" s="25" t="s">
        <v>1025</v>
      </c>
      <c r="J125" s="3" t="s">
        <v>1410</v>
      </c>
      <c r="K125" s="27"/>
      <c r="L125" s="3"/>
      <c r="M125" s="3"/>
      <c r="N125" s="3"/>
      <c r="O125" s="3"/>
      <c r="P125" s="3"/>
      <c r="Q125" s="39"/>
      <c r="R125" s="39"/>
      <c r="S125" s="39"/>
      <c r="T125" s="3"/>
      <c r="U125" s="3"/>
      <c r="V125" s="3"/>
      <c r="W125" s="3"/>
      <c r="X125" s="3"/>
      <c r="Y125" s="3"/>
      <c r="Z125" s="3"/>
      <c r="AA125" s="3"/>
      <c r="AB125" s="3"/>
      <c r="AC125" s="41"/>
      <c r="AD125" s="41"/>
      <c r="AE125" s="3"/>
      <c r="AF125" s="3" t="s">
        <v>1396</v>
      </c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</row>
    <row r="126" spans="1:112" x14ac:dyDescent="0.25">
      <c r="A126" s="3">
        <v>8</v>
      </c>
      <c r="B126" s="13" t="s">
        <v>763</v>
      </c>
      <c r="C126" s="3"/>
      <c r="D126" s="16" t="s">
        <v>600</v>
      </c>
      <c r="E126" s="3" t="s">
        <v>858</v>
      </c>
      <c r="F126" s="16" t="s">
        <v>678</v>
      </c>
      <c r="G126" s="3"/>
      <c r="H126" s="17" t="s">
        <v>939</v>
      </c>
      <c r="I126" s="25" t="s">
        <v>1026</v>
      </c>
      <c r="J126" s="3" t="s">
        <v>556</v>
      </c>
      <c r="K126" s="27"/>
      <c r="L126" s="3"/>
      <c r="M126" s="3"/>
      <c r="N126" s="3"/>
      <c r="O126" s="3"/>
      <c r="P126" s="3"/>
      <c r="Q126" s="39"/>
      <c r="R126" s="39"/>
      <c r="S126" s="39"/>
      <c r="T126" s="3"/>
      <c r="U126" s="3"/>
      <c r="V126" s="3"/>
      <c r="W126" s="3"/>
      <c r="X126" s="3"/>
      <c r="Y126" s="3"/>
      <c r="Z126" s="3"/>
      <c r="AA126" s="3"/>
      <c r="AB126" s="3"/>
      <c r="AC126" s="41"/>
      <c r="AD126" s="41"/>
      <c r="AE126" s="3"/>
      <c r="AF126" s="3" t="s">
        <v>1396</v>
      </c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</row>
    <row r="127" spans="1:112" x14ac:dyDescent="0.25">
      <c r="A127" s="3">
        <v>171</v>
      </c>
      <c r="B127" s="20" t="s">
        <v>764</v>
      </c>
      <c r="C127" s="3"/>
      <c r="D127" s="16" t="s">
        <v>601</v>
      </c>
      <c r="E127" s="3" t="s">
        <v>859</v>
      </c>
      <c r="F127" s="16" t="s">
        <v>679</v>
      </c>
      <c r="G127" s="3"/>
      <c r="H127" s="17" t="s">
        <v>940</v>
      </c>
      <c r="I127" s="25" t="s">
        <v>1021</v>
      </c>
      <c r="J127" s="3" t="s">
        <v>556</v>
      </c>
      <c r="K127" s="27"/>
      <c r="L127" s="3"/>
      <c r="M127" s="3"/>
      <c r="N127" s="3"/>
      <c r="O127" s="3"/>
      <c r="P127" s="3"/>
      <c r="Q127" s="39"/>
      <c r="R127" s="39"/>
      <c r="S127" s="39"/>
      <c r="T127" s="3"/>
      <c r="U127" s="3"/>
      <c r="V127" s="3"/>
      <c r="W127" s="3"/>
      <c r="X127" s="3"/>
      <c r="Y127" s="3"/>
      <c r="Z127" s="3"/>
      <c r="AA127" s="3"/>
      <c r="AB127" s="3"/>
      <c r="AC127" s="41"/>
      <c r="AD127" s="41"/>
      <c r="AE127" s="3"/>
      <c r="AF127" s="3" t="s">
        <v>1396</v>
      </c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</row>
    <row r="128" spans="1:112" x14ac:dyDescent="0.25">
      <c r="A128" s="3">
        <v>10</v>
      </c>
      <c r="B128" s="13" t="s">
        <v>765</v>
      </c>
      <c r="C128" s="3"/>
      <c r="D128" s="16" t="s">
        <v>602</v>
      </c>
      <c r="E128" s="3" t="s">
        <v>860</v>
      </c>
      <c r="F128" s="16" t="s">
        <v>680</v>
      </c>
      <c r="G128" s="3"/>
      <c r="H128" s="17" t="s">
        <v>941</v>
      </c>
      <c r="I128" s="25" t="s">
        <v>1027</v>
      </c>
      <c r="J128" s="3" t="s">
        <v>1404</v>
      </c>
      <c r="K128" s="27"/>
      <c r="L128" s="3"/>
      <c r="M128" s="3"/>
      <c r="N128" s="3"/>
      <c r="O128" s="3"/>
      <c r="P128" s="3"/>
      <c r="Q128" s="39"/>
      <c r="R128" s="39"/>
      <c r="S128" s="39"/>
      <c r="T128" s="3"/>
      <c r="U128" s="3"/>
      <c r="V128" s="3"/>
      <c r="W128" s="3"/>
      <c r="X128" s="3"/>
      <c r="Y128" s="3"/>
      <c r="Z128" s="3"/>
      <c r="AA128" s="3"/>
      <c r="AB128" s="3"/>
      <c r="AC128" s="41"/>
      <c r="AD128" s="41"/>
      <c r="AE128" s="3"/>
      <c r="AF128" s="3" t="s">
        <v>1396</v>
      </c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</row>
    <row r="129" spans="1:112" x14ac:dyDescent="0.25">
      <c r="A129" s="3">
        <v>177</v>
      </c>
      <c r="B129" s="22" t="s">
        <v>766</v>
      </c>
      <c r="C129" s="3"/>
      <c r="D129" s="19" t="s">
        <v>603</v>
      </c>
      <c r="E129" s="3" t="s">
        <v>840</v>
      </c>
      <c r="F129" s="19" t="s">
        <v>681</v>
      </c>
      <c r="G129" s="3"/>
      <c r="H129" s="17" t="s">
        <v>942</v>
      </c>
      <c r="I129" s="29" t="s">
        <v>1062</v>
      </c>
      <c r="J129" s="3" t="s">
        <v>1411</v>
      </c>
      <c r="K129" s="27"/>
      <c r="L129" s="3"/>
      <c r="M129" s="3"/>
      <c r="N129" s="3"/>
      <c r="O129" s="3"/>
      <c r="P129" s="3"/>
      <c r="Q129" s="39"/>
      <c r="R129" s="39"/>
      <c r="S129" s="39"/>
      <c r="T129" s="3"/>
      <c r="U129" s="3"/>
      <c r="V129" s="3"/>
      <c r="W129" s="3"/>
      <c r="X129" s="3"/>
      <c r="Y129" s="3" t="s">
        <v>1307</v>
      </c>
      <c r="Z129" s="3"/>
      <c r="AA129" s="3"/>
      <c r="AB129" s="3"/>
      <c r="AC129" s="41"/>
      <c r="AD129" s="41"/>
      <c r="AE129" s="3"/>
      <c r="AF129" s="3" t="s">
        <v>1396</v>
      </c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</row>
    <row r="130" spans="1:112" x14ac:dyDescent="0.25">
      <c r="A130" s="3">
        <v>116</v>
      </c>
      <c r="B130" s="22" t="s">
        <v>767</v>
      </c>
      <c r="C130" s="3"/>
      <c r="D130" s="19" t="s">
        <v>604</v>
      </c>
      <c r="E130" s="3" t="s">
        <v>861</v>
      </c>
      <c r="F130" s="19" t="s">
        <v>682</v>
      </c>
      <c r="G130" s="3"/>
      <c r="H130" s="17" t="s">
        <v>943</v>
      </c>
      <c r="I130" s="25" t="s">
        <v>568</v>
      </c>
      <c r="J130" s="3" t="s">
        <v>568</v>
      </c>
      <c r="K130" s="27"/>
      <c r="L130" s="3"/>
      <c r="M130" s="3"/>
      <c r="N130" s="3"/>
      <c r="O130" s="3"/>
      <c r="P130" s="3"/>
      <c r="Q130" s="39"/>
      <c r="R130" s="39"/>
      <c r="S130" s="39"/>
      <c r="T130" s="3"/>
      <c r="U130" s="3"/>
      <c r="V130" s="3"/>
      <c r="W130" s="3"/>
      <c r="X130" s="3"/>
      <c r="Y130" s="3"/>
      <c r="Z130" s="3"/>
      <c r="AA130" s="3"/>
      <c r="AB130" s="3"/>
      <c r="AC130" s="41"/>
      <c r="AD130" s="41"/>
      <c r="AE130" s="3"/>
      <c r="AF130" s="3" t="s">
        <v>1398</v>
      </c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</row>
    <row r="131" spans="1:112" x14ac:dyDescent="0.25">
      <c r="A131" s="3">
        <v>128</v>
      </c>
      <c r="B131" s="22" t="s">
        <v>768</v>
      </c>
      <c r="C131" s="3"/>
      <c r="D131" s="19" t="s">
        <v>605</v>
      </c>
      <c r="E131" s="3" t="s">
        <v>862</v>
      </c>
      <c r="F131" s="19" t="s">
        <v>683</v>
      </c>
      <c r="G131" s="3"/>
      <c r="H131" s="17" t="s">
        <v>944</v>
      </c>
      <c r="I131" s="25" t="s">
        <v>1028</v>
      </c>
      <c r="J131" s="3" t="s">
        <v>1419</v>
      </c>
      <c r="K131" s="27"/>
      <c r="L131" s="3"/>
      <c r="M131" s="3"/>
      <c r="N131" s="3"/>
      <c r="O131" s="3"/>
      <c r="P131" s="3"/>
      <c r="Q131" s="39"/>
      <c r="R131" s="39"/>
      <c r="S131" s="39"/>
      <c r="T131" s="3"/>
      <c r="U131" s="3"/>
      <c r="V131" s="3"/>
      <c r="W131" s="3"/>
      <c r="X131" s="3"/>
      <c r="Y131" s="3"/>
      <c r="Z131" s="3"/>
      <c r="AA131" s="3"/>
      <c r="AB131" s="3"/>
      <c r="AC131" s="41"/>
      <c r="AD131" s="41"/>
      <c r="AE131" s="3"/>
      <c r="AF131" s="3" t="s">
        <v>1398</v>
      </c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</row>
    <row r="132" spans="1:112" x14ac:dyDescent="0.25">
      <c r="A132" s="3">
        <v>199</v>
      </c>
      <c r="B132" s="22" t="s">
        <v>769</v>
      </c>
      <c r="C132" s="3"/>
      <c r="D132" s="19" t="s">
        <v>606</v>
      </c>
      <c r="E132" s="3" t="s">
        <v>841</v>
      </c>
      <c r="F132" s="19" t="s">
        <v>684</v>
      </c>
      <c r="G132" s="3"/>
      <c r="H132" s="17" t="s">
        <v>945</v>
      </c>
      <c r="I132" s="28" t="s">
        <v>1009</v>
      </c>
      <c r="J132" s="3" t="s">
        <v>561</v>
      </c>
      <c r="K132" s="27"/>
      <c r="L132" s="3"/>
      <c r="M132" s="3"/>
      <c r="N132" s="3"/>
      <c r="O132" s="3"/>
      <c r="P132" s="3"/>
      <c r="Q132" s="39"/>
      <c r="R132" s="39"/>
      <c r="S132" s="39"/>
      <c r="T132" s="3"/>
      <c r="U132" s="3"/>
      <c r="V132" s="3"/>
      <c r="W132" s="3"/>
      <c r="X132" s="3"/>
      <c r="Y132" s="3" t="s">
        <v>1307</v>
      </c>
      <c r="Z132" s="3"/>
      <c r="AA132" s="3"/>
      <c r="AB132" s="3"/>
      <c r="AC132" s="41"/>
      <c r="AD132" s="41"/>
      <c r="AE132" s="3"/>
      <c r="AF132" s="3" t="s">
        <v>1398</v>
      </c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</row>
    <row r="133" spans="1:112" x14ac:dyDescent="0.25">
      <c r="A133" s="3">
        <v>184</v>
      </c>
      <c r="B133" s="22" t="s">
        <v>770</v>
      </c>
      <c r="C133" s="3"/>
      <c r="D133" s="19" t="s">
        <v>607</v>
      </c>
      <c r="E133" s="3" t="s">
        <v>863</v>
      </c>
      <c r="F133" s="19" t="s">
        <v>685</v>
      </c>
      <c r="G133" s="3"/>
      <c r="H133" s="17" t="s">
        <v>946</v>
      </c>
      <c r="I133" s="24" t="s">
        <v>556</v>
      </c>
      <c r="J133" s="3" t="s">
        <v>556</v>
      </c>
      <c r="K133" s="27"/>
      <c r="L133" s="3"/>
      <c r="M133" s="3"/>
      <c r="N133" s="3"/>
      <c r="O133" s="3"/>
      <c r="P133" s="3"/>
      <c r="Q133" s="39"/>
      <c r="R133" s="39"/>
      <c r="S133" s="39"/>
      <c r="T133" s="3"/>
      <c r="U133" s="3"/>
      <c r="V133" s="3"/>
      <c r="W133" s="3"/>
      <c r="X133" s="3"/>
      <c r="Y133" s="3"/>
      <c r="Z133" s="3"/>
      <c r="AA133" s="3"/>
      <c r="AB133" s="3"/>
      <c r="AC133" s="41"/>
      <c r="AD133" s="41"/>
      <c r="AE133" s="3"/>
      <c r="AF133" s="3" t="s">
        <v>1398</v>
      </c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</row>
    <row r="134" spans="1:112" x14ac:dyDescent="0.25">
      <c r="A134" s="3">
        <v>27</v>
      </c>
      <c r="B134" s="22"/>
      <c r="C134" s="3"/>
      <c r="D134" s="19" t="s">
        <v>993</v>
      </c>
      <c r="E134" s="3" t="s">
        <v>994</v>
      </c>
      <c r="F134" s="19" t="s">
        <v>995</v>
      </c>
      <c r="G134" s="3"/>
      <c r="H134" s="17" t="s">
        <v>1065</v>
      </c>
      <c r="I134" s="24" t="s">
        <v>561</v>
      </c>
      <c r="J134" s="3" t="s">
        <v>561</v>
      </c>
      <c r="K134" s="11">
        <v>26703</v>
      </c>
      <c r="L134" s="3"/>
      <c r="M134" s="3"/>
      <c r="N134" s="3"/>
      <c r="O134" s="3"/>
      <c r="P134" s="3"/>
      <c r="Q134" s="39"/>
      <c r="R134" s="39"/>
      <c r="S134" s="39"/>
      <c r="T134" s="3"/>
      <c r="U134" s="3"/>
      <c r="V134" s="3"/>
      <c r="W134" s="3"/>
      <c r="X134" s="3"/>
      <c r="Y134" s="3" t="s">
        <v>1307</v>
      </c>
      <c r="Z134" s="3"/>
      <c r="AA134" s="3"/>
      <c r="AB134" s="3"/>
      <c r="AC134" s="41"/>
      <c r="AD134" s="41"/>
      <c r="AE134" s="3"/>
      <c r="AF134" s="3" t="s">
        <v>1399</v>
      </c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</row>
    <row r="135" spans="1:112" x14ac:dyDescent="0.25">
      <c r="A135" s="3">
        <v>34</v>
      </c>
      <c r="B135" s="22"/>
      <c r="C135" s="3"/>
      <c r="D135" s="19" t="s">
        <v>996</v>
      </c>
      <c r="E135" s="3" t="s">
        <v>1066</v>
      </c>
      <c r="F135" s="19" t="s">
        <v>995</v>
      </c>
      <c r="G135" s="3"/>
      <c r="H135" s="17" t="s">
        <v>1067</v>
      </c>
      <c r="I135" s="24" t="s">
        <v>561</v>
      </c>
      <c r="J135" s="3" t="s">
        <v>561</v>
      </c>
      <c r="K135" s="27"/>
      <c r="L135" s="3"/>
      <c r="M135" s="3"/>
      <c r="N135" s="3"/>
      <c r="O135" s="3"/>
      <c r="P135" s="3"/>
      <c r="Q135" s="39"/>
      <c r="R135" s="39"/>
      <c r="S135" s="39"/>
      <c r="T135" s="3"/>
      <c r="U135" s="3"/>
      <c r="V135" s="3"/>
      <c r="W135" s="3"/>
      <c r="X135" s="3"/>
      <c r="Y135" s="3" t="s">
        <v>1307</v>
      </c>
      <c r="Z135" s="3"/>
      <c r="AA135" s="3"/>
      <c r="AB135" s="3"/>
      <c r="AC135" s="41"/>
      <c r="AD135" s="41"/>
      <c r="AE135" s="3"/>
      <c r="AF135" s="3" t="s">
        <v>1399</v>
      </c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</row>
    <row r="136" spans="1:112" x14ac:dyDescent="0.25">
      <c r="A136" s="3">
        <v>26</v>
      </c>
      <c r="B136" s="22"/>
      <c r="C136" s="3"/>
      <c r="D136" s="19" t="s">
        <v>997</v>
      </c>
      <c r="E136" s="3" t="s">
        <v>1068</v>
      </c>
      <c r="F136" s="19" t="s">
        <v>998</v>
      </c>
      <c r="G136" s="3"/>
      <c r="H136" s="17" t="s">
        <v>1069</v>
      </c>
      <c r="I136" s="24" t="s">
        <v>1070</v>
      </c>
      <c r="J136" s="3" t="s">
        <v>560</v>
      </c>
      <c r="K136" s="27">
        <v>32630</v>
      </c>
      <c r="L136" s="3"/>
      <c r="M136" s="3"/>
      <c r="N136" s="3"/>
      <c r="O136" s="3"/>
      <c r="P136" s="3"/>
      <c r="Q136" s="39"/>
      <c r="R136" s="39"/>
      <c r="S136" s="39"/>
      <c r="T136" s="3"/>
      <c r="U136" s="3"/>
      <c r="V136" s="3"/>
      <c r="W136" s="3"/>
      <c r="X136" s="3"/>
      <c r="Y136" s="3" t="s">
        <v>1307</v>
      </c>
      <c r="Z136" s="3"/>
      <c r="AA136" s="3"/>
      <c r="AB136" s="3"/>
      <c r="AC136" s="41"/>
      <c r="AD136" s="41"/>
      <c r="AE136" s="3"/>
      <c r="AF136" s="3" t="s">
        <v>1399</v>
      </c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</row>
    <row r="137" spans="1:112" x14ac:dyDescent="0.25">
      <c r="A137" s="3">
        <v>150</v>
      </c>
      <c r="B137" s="22"/>
      <c r="C137" s="3"/>
      <c r="D137" s="19" t="s">
        <v>999</v>
      </c>
      <c r="E137" s="3"/>
      <c r="F137" s="19" t="s">
        <v>1000</v>
      </c>
      <c r="G137" s="3"/>
      <c r="H137" s="17"/>
      <c r="I137" s="24" t="s">
        <v>1013</v>
      </c>
      <c r="J137" s="3" t="s">
        <v>561</v>
      </c>
      <c r="K137" s="27"/>
      <c r="L137" s="3"/>
      <c r="M137" s="3"/>
      <c r="N137" s="3"/>
      <c r="O137" s="3"/>
      <c r="P137" s="3"/>
      <c r="Q137" s="39"/>
      <c r="R137" s="39"/>
      <c r="S137" s="39"/>
      <c r="T137" s="3"/>
      <c r="U137" s="3"/>
      <c r="V137" s="3"/>
      <c r="W137" s="3"/>
      <c r="X137" s="3"/>
      <c r="Y137" s="3" t="s">
        <v>1307</v>
      </c>
      <c r="Z137" s="3"/>
      <c r="AA137" s="3"/>
      <c r="AB137" s="3"/>
      <c r="AC137" s="41"/>
      <c r="AD137" s="41"/>
      <c r="AE137" s="3"/>
      <c r="AF137" s="3" t="s">
        <v>1399</v>
      </c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</row>
    <row r="138" spans="1:112" x14ac:dyDescent="0.25">
      <c r="A138" s="3">
        <v>3</v>
      </c>
      <c r="B138" s="13" t="s">
        <v>771</v>
      </c>
      <c r="C138" s="3"/>
      <c r="D138" s="17" t="s">
        <v>608</v>
      </c>
      <c r="E138" s="3" t="s">
        <v>864</v>
      </c>
      <c r="F138" s="17" t="s">
        <v>686</v>
      </c>
      <c r="G138" s="3"/>
      <c r="H138" s="17" t="s">
        <v>947</v>
      </c>
      <c r="I138" s="25" t="s">
        <v>1016</v>
      </c>
      <c r="J138" s="3" t="s">
        <v>1412</v>
      </c>
      <c r="K138" s="27"/>
      <c r="L138" s="3"/>
      <c r="M138" s="3"/>
      <c r="N138" s="3"/>
      <c r="O138" s="3"/>
      <c r="P138" s="3"/>
      <c r="Q138" s="39"/>
      <c r="R138" s="39"/>
      <c r="S138" s="39"/>
      <c r="T138" s="3"/>
      <c r="U138" s="3"/>
      <c r="V138" s="3"/>
      <c r="W138" s="3"/>
      <c r="X138" s="3"/>
      <c r="Y138" s="3"/>
      <c r="Z138" s="3"/>
      <c r="AA138" s="3"/>
      <c r="AB138" s="3"/>
      <c r="AC138" s="41"/>
      <c r="AD138" s="41"/>
      <c r="AE138" s="3"/>
      <c r="AF138" s="3" t="s">
        <v>1396</v>
      </c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</row>
    <row r="139" spans="1:112" x14ac:dyDescent="0.25">
      <c r="A139" s="3">
        <v>2</v>
      </c>
      <c r="B139" s="13" t="s">
        <v>772</v>
      </c>
      <c r="C139" s="3"/>
      <c r="D139" s="16" t="s">
        <v>609</v>
      </c>
      <c r="E139" s="3" t="s">
        <v>865</v>
      </c>
      <c r="F139" s="16" t="s">
        <v>687</v>
      </c>
      <c r="G139" s="3"/>
      <c r="H139" s="17" t="s">
        <v>948</v>
      </c>
      <c r="I139" s="25" t="s">
        <v>1022</v>
      </c>
      <c r="J139" s="3" t="s">
        <v>1405</v>
      </c>
      <c r="K139" s="27"/>
      <c r="L139" s="3"/>
      <c r="M139" s="3"/>
      <c r="N139" s="3"/>
      <c r="O139" s="3"/>
      <c r="P139" s="3"/>
      <c r="Q139" s="39"/>
      <c r="R139" s="39"/>
      <c r="S139" s="39"/>
      <c r="T139" s="3"/>
      <c r="U139" s="3"/>
      <c r="V139" s="3"/>
      <c r="W139" s="3"/>
      <c r="X139" s="3"/>
      <c r="Y139" s="3"/>
      <c r="Z139" s="3"/>
      <c r="AA139" s="3"/>
      <c r="AB139" s="3"/>
      <c r="AC139" s="41"/>
      <c r="AD139" s="41"/>
      <c r="AE139" s="3"/>
      <c r="AF139" s="3" t="s">
        <v>1396</v>
      </c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</row>
    <row r="140" spans="1:112" x14ac:dyDescent="0.25">
      <c r="A140" s="3"/>
      <c r="B140" s="13"/>
      <c r="C140" s="3"/>
      <c r="D140" s="16" t="s">
        <v>1060</v>
      </c>
      <c r="E140" s="3" t="s">
        <v>858</v>
      </c>
      <c r="F140" s="16" t="s">
        <v>1029</v>
      </c>
      <c r="G140" s="3"/>
      <c r="H140" s="17" t="s">
        <v>1061</v>
      </c>
      <c r="I140" s="31" t="s">
        <v>1059</v>
      </c>
      <c r="J140" s="3" t="s">
        <v>1420</v>
      </c>
      <c r="K140" s="27"/>
      <c r="L140" s="3"/>
      <c r="M140" s="3"/>
      <c r="N140" s="3"/>
      <c r="O140" s="3"/>
      <c r="P140" s="3"/>
      <c r="Q140" s="39"/>
      <c r="R140" s="39"/>
      <c r="S140" s="39"/>
      <c r="T140" s="3"/>
      <c r="U140" s="3"/>
      <c r="V140" s="3"/>
      <c r="W140" s="3"/>
      <c r="X140" s="3"/>
      <c r="Y140" s="3"/>
      <c r="Z140" s="3"/>
      <c r="AA140" s="3"/>
      <c r="AB140" s="3"/>
      <c r="AC140" s="41"/>
      <c r="AD140" s="41"/>
      <c r="AE140" s="3"/>
      <c r="AF140" s="3" t="s">
        <v>1396</v>
      </c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</row>
    <row r="141" spans="1:112" x14ac:dyDescent="0.25">
      <c r="A141" s="3">
        <v>145</v>
      </c>
      <c r="B141" s="20" t="s">
        <v>773</v>
      </c>
      <c r="C141" s="3"/>
      <c r="D141" s="16" t="s">
        <v>610</v>
      </c>
      <c r="E141" s="3" t="s">
        <v>866</v>
      </c>
      <c r="F141" s="16" t="s">
        <v>688</v>
      </c>
      <c r="G141" s="3"/>
      <c r="H141" s="17" t="s">
        <v>949</v>
      </c>
      <c r="I141" s="29" t="s">
        <v>1064</v>
      </c>
      <c r="J141" s="3" t="s">
        <v>1414</v>
      </c>
      <c r="K141" s="27"/>
      <c r="L141" s="3"/>
      <c r="M141" s="3"/>
      <c r="N141" s="3"/>
      <c r="O141" s="3"/>
      <c r="P141" s="3"/>
      <c r="Q141" s="39"/>
      <c r="R141" s="39"/>
      <c r="S141" s="39"/>
      <c r="T141" s="3"/>
      <c r="U141" s="3"/>
      <c r="V141" s="3"/>
      <c r="W141" s="3"/>
      <c r="X141" s="3"/>
      <c r="Y141" s="3"/>
      <c r="Z141" s="3"/>
      <c r="AA141" s="3"/>
      <c r="AB141" s="3"/>
      <c r="AC141" s="41"/>
      <c r="AD141" s="41"/>
      <c r="AE141" s="3"/>
      <c r="AF141" s="3" t="s">
        <v>1396</v>
      </c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</row>
    <row r="142" spans="1:112" x14ac:dyDescent="0.25">
      <c r="A142" s="3">
        <v>155</v>
      </c>
      <c r="B142" s="13" t="s">
        <v>774</v>
      </c>
      <c r="C142" s="3"/>
      <c r="D142" s="16" t="s">
        <v>611</v>
      </c>
      <c r="E142" s="3" t="s">
        <v>867</v>
      </c>
      <c r="F142" s="16" t="s">
        <v>689</v>
      </c>
      <c r="G142" s="3"/>
      <c r="H142" s="17" t="s">
        <v>950</v>
      </c>
      <c r="I142" s="25" t="s">
        <v>1030</v>
      </c>
      <c r="J142" s="3" t="s">
        <v>1421</v>
      </c>
      <c r="K142" s="27"/>
      <c r="L142" s="3"/>
      <c r="M142" s="3"/>
      <c r="N142" s="3"/>
      <c r="O142" s="3"/>
      <c r="P142" s="3"/>
      <c r="Q142" s="39"/>
      <c r="R142" s="39"/>
      <c r="S142" s="39"/>
      <c r="T142" s="3"/>
      <c r="U142" s="3"/>
      <c r="V142" s="3"/>
      <c r="W142" s="3"/>
      <c r="X142" s="3"/>
      <c r="Y142" s="3"/>
      <c r="Z142" s="3"/>
      <c r="AA142" s="3"/>
      <c r="AB142" s="3"/>
      <c r="AC142" s="41"/>
      <c r="AD142" s="41"/>
      <c r="AE142" s="3"/>
      <c r="AF142" s="3" t="s">
        <v>1396</v>
      </c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</row>
    <row r="143" spans="1:112" x14ac:dyDescent="0.25">
      <c r="A143" s="3">
        <v>93</v>
      </c>
      <c r="B143" s="22" t="s">
        <v>775</v>
      </c>
      <c r="C143" s="3"/>
      <c r="D143" s="16" t="s">
        <v>612</v>
      </c>
      <c r="E143" s="3" t="s">
        <v>868</v>
      </c>
      <c r="F143" s="16" t="s">
        <v>690</v>
      </c>
      <c r="G143" s="3"/>
      <c r="H143" s="17" t="s">
        <v>951</v>
      </c>
      <c r="I143" s="25" t="s">
        <v>1003</v>
      </c>
      <c r="J143" s="3" t="s">
        <v>556</v>
      </c>
      <c r="K143" s="27"/>
      <c r="L143" s="3"/>
      <c r="M143" s="3"/>
      <c r="N143" s="3"/>
      <c r="O143" s="3"/>
      <c r="P143" s="3"/>
      <c r="Q143" s="39"/>
      <c r="R143" s="39"/>
      <c r="S143" s="39"/>
      <c r="T143" s="3"/>
      <c r="U143" s="3"/>
      <c r="V143" s="3"/>
      <c r="W143" s="3"/>
      <c r="X143" s="3"/>
      <c r="Y143" s="3"/>
      <c r="Z143" s="3"/>
      <c r="AA143" s="3"/>
      <c r="AB143" s="3"/>
      <c r="AC143" s="41"/>
      <c r="AD143" s="41"/>
      <c r="AE143" s="3"/>
      <c r="AF143" s="3" t="s">
        <v>1396</v>
      </c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</row>
    <row r="144" spans="1:112" x14ac:dyDescent="0.25">
      <c r="A144" s="3">
        <v>192</v>
      </c>
      <c r="B144" s="22" t="s">
        <v>776</v>
      </c>
      <c r="C144" s="3"/>
      <c r="D144" s="16" t="s">
        <v>613</v>
      </c>
      <c r="E144" s="3" t="s">
        <v>869</v>
      </c>
      <c r="F144" s="16" t="s">
        <v>691</v>
      </c>
      <c r="G144" s="3"/>
      <c r="H144" s="17" t="s">
        <v>952</v>
      </c>
      <c r="I144" s="25" t="s">
        <v>1031</v>
      </c>
      <c r="J144" s="3" t="s">
        <v>1422</v>
      </c>
      <c r="K144" s="27"/>
      <c r="L144" s="3"/>
      <c r="M144" s="3"/>
      <c r="N144" s="3"/>
      <c r="O144" s="3"/>
      <c r="P144" s="3"/>
      <c r="Q144" s="39"/>
      <c r="R144" s="39"/>
      <c r="S144" s="39"/>
      <c r="T144" s="3"/>
      <c r="U144" s="3"/>
      <c r="V144" s="3"/>
      <c r="W144" s="3"/>
      <c r="X144" s="3"/>
      <c r="Y144" s="3"/>
      <c r="Z144" s="3"/>
      <c r="AA144" s="3"/>
      <c r="AB144" s="3"/>
      <c r="AC144" s="41"/>
      <c r="AD144" s="41"/>
      <c r="AE144" s="3"/>
      <c r="AF144" s="3" t="s">
        <v>1396</v>
      </c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</row>
    <row r="145" spans="1:112" x14ac:dyDescent="0.25">
      <c r="A145" s="3">
        <v>149</v>
      </c>
      <c r="B145" s="22" t="s">
        <v>777</v>
      </c>
      <c r="C145" s="3"/>
      <c r="D145" s="16" t="s">
        <v>614</v>
      </c>
      <c r="E145" s="3" t="s">
        <v>870</v>
      </c>
      <c r="F145" s="16" t="s">
        <v>692</v>
      </c>
      <c r="G145" s="3"/>
      <c r="H145" s="17" t="s">
        <v>953</v>
      </c>
      <c r="I145" s="25" t="s">
        <v>488</v>
      </c>
      <c r="J145" s="3" t="s">
        <v>556</v>
      </c>
      <c r="K145" s="27"/>
      <c r="L145" s="3"/>
      <c r="M145" s="3"/>
      <c r="N145" s="3"/>
      <c r="O145" s="3"/>
      <c r="P145" s="3"/>
      <c r="Q145" s="39"/>
      <c r="R145" s="39"/>
      <c r="S145" s="39"/>
      <c r="T145" s="3"/>
      <c r="U145" s="3"/>
      <c r="V145" s="3"/>
      <c r="W145" s="3"/>
      <c r="X145" s="3"/>
      <c r="Y145" s="3"/>
      <c r="Z145" s="3"/>
      <c r="AA145" s="3"/>
      <c r="AB145" s="3"/>
      <c r="AC145" s="41"/>
      <c r="AD145" s="41"/>
      <c r="AE145" s="3"/>
      <c r="AF145" s="3" t="s">
        <v>1396</v>
      </c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</row>
    <row r="146" spans="1:112" x14ac:dyDescent="0.25">
      <c r="A146" s="3">
        <v>90</v>
      </c>
      <c r="B146" s="22" t="s">
        <v>778</v>
      </c>
      <c r="C146" s="3"/>
      <c r="D146" s="16" t="s">
        <v>615</v>
      </c>
      <c r="E146" s="3" t="s">
        <v>871</v>
      </c>
      <c r="F146" s="16" t="s">
        <v>693</v>
      </c>
      <c r="G146" s="3"/>
      <c r="H146" s="17" t="s">
        <v>954</v>
      </c>
      <c r="I146" s="25" t="s">
        <v>1032</v>
      </c>
      <c r="J146" s="3" t="s">
        <v>556</v>
      </c>
      <c r="K146" s="27"/>
      <c r="L146" s="3"/>
      <c r="M146" s="3"/>
      <c r="N146" s="3"/>
      <c r="O146" s="3"/>
      <c r="P146" s="3"/>
      <c r="Q146" s="39"/>
      <c r="R146" s="39"/>
      <c r="S146" s="39"/>
      <c r="T146" s="3"/>
      <c r="U146" s="3"/>
      <c r="V146" s="3"/>
      <c r="W146" s="3"/>
      <c r="X146" s="3"/>
      <c r="Y146" s="3"/>
      <c r="Z146" s="3"/>
      <c r="AA146" s="3"/>
      <c r="AB146" s="3"/>
      <c r="AC146" s="41"/>
      <c r="AD146" s="41"/>
      <c r="AE146" s="3"/>
      <c r="AF146" s="3" t="s">
        <v>1396</v>
      </c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</row>
    <row r="147" spans="1:112" x14ac:dyDescent="0.25">
      <c r="A147" s="3">
        <v>176</v>
      </c>
      <c r="B147" s="22" t="s">
        <v>779</v>
      </c>
      <c r="C147" s="3"/>
      <c r="D147" s="16" t="s">
        <v>616</v>
      </c>
      <c r="E147" s="3" t="s">
        <v>666</v>
      </c>
      <c r="F147" s="16" t="s">
        <v>672</v>
      </c>
      <c r="G147" s="3"/>
      <c r="H147" s="17" t="s">
        <v>955</v>
      </c>
      <c r="I147" s="24" t="s">
        <v>1003</v>
      </c>
      <c r="J147" s="3" t="s">
        <v>556</v>
      </c>
      <c r="K147" s="27"/>
      <c r="L147" s="3"/>
      <c r="M147" s="3"/>
      <c r="N147" s="3"/>
      <c r="O147" s="3"/>
      <c r="P147" s="3"/>
      <c r="Q147" s="39"/>
      <c r="R147" s="39"/>
      <c r="S147" s="39"/>
      <c r="T147" s="3"/>
      <c r="U147" s="3"/>
      <c r="V147" s="3"/>
      <c r="W147" s="3"/>
      <c r="X147" s="3"/>
      <c r="Y147" s="3"/>
      <c r="Z147" s="3"/>
      <c r="AA147" s="3"/>
      <c r="AB147" s="3"/>
      <c r="AC147" s="41"/>
      <c r="AD147" s="41"/>
      <c r="AE147" s="3"/>
      <c r="AF147" s="3" t="s">
        <v>1396</v>
      </c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</row>
    <row r="148" spans="1:112" x14ac:dyDescent="0.25">
      <c r="A148" s="3">
        <v>83</v>
      </c>
      <c r="B148" s="22" t="s">
        <v>780</v>
      </c>
      <c r="C148" s="3"/>
      <c r="D148" s="16" t="s">
        <v>617</v>
      </c>
      <c r="E148" s="3" t="s">
        <v>872</v>
      </c>
      <c r="F148" s="16" t="s">
        <v>694</v>
      </c>
      <c r="G148" s="3"/>
      <c r="H148" s="17" t="s">
        <v>956</v>
      </c>
      <c r="I148" s="25" t="s">
        <v>1033</v>
      </c>
      <c r="J148" s="3" t="s">
        <v>556</v>
      </c>
      <c r="K148" s="27"/>
      <c r="L148" s="3"/>
      <c r="M148" s="3"/>
      <c r="N148" s="3"/>
      <c r="O148" s="3"/>
      <c r="P148" s="3"/>
      <c r="Q148" s="39"/>
      <c r="R148" s="39"/>
      <c r="S148" s="39"/>
      <c r="T148" s="3"/>
      <c r="U148" s="3"/>
      <c r="V148" s="3"/>
      <c r="W148" s="3"/>
      <c r="X148" s="3"/>
      <c r="Y148" s="3"/>
      <c r="Z148" s="3"/>
      <c r="AA148" s="3"/>
      <c r="AB148" s="3"/>
      <c r="AC148" s="41"/>
      <c r="AD148" s="41"/>
      <c r="AE148" s="3"/>
      <c r="AF148" s="3" t="s">
        <v>1396</v>
      </c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</row>
    <row r="149" spans="1:112" x14ac:dyDescent="0.25">
      <c r="A149" s="3">
        <v>16</v>
      </c>
      <c r="B149" s="22" t="s">
        <v>781</v>
      </c>
      <c r="C149" s="3"/>
      <c r="D149" s="16" t="s">
        <v>618</v>
      </c>
      <c r="E149" s="3" t="s">
        <v>873</v>
      </c>
      <c r="F149" s="16" t="s">
        <v>695</v>
      </c>
      <c r="G149" s="3"/>
      <c r="H149" s="17" t="s">
        <v>957</v>
      </c>
      <c r="I149" s="25" t="s">
        <v>1034</v>
      </c>
      <c r="J149" s="3" t="s">
        <v>1406</v>
      </c>
      <c r="K149" s="27"/>
      <c r="L149" s="3"/>
      <c r="M149" s="3"/>
      <c r="N149" s="3"/>
      <c r="O149" s="3"/>
      <c r="P149" s="3"/>
      <c r="Q149" s="39"/>
      <c r="R149" s="39"/>
      <c r="S149" s="39"/>
      <c r="T149" s="3"/>
      <c r="U149" s="3"/>
      <c r="V149" s="3"/>
      <c r="W149" s="3"/>
      <c r="X149" s="3"/>
      <c r="Y149" s="3"/>
      <c r="Z149" s="3"/>
      <c r="AA149" s="3"/>
      <c r="AB149" s="3"/>
      <c r="AC149" s="41"/>
      <c r="AD149" s="41"/>
      <c r="AE149" s="3"/>
      <c r="AF149" s="3" t="s">
        <v>1396</v>
      </c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</row>
    <row r="150" spans="1:112" x14ac:dyDescent="0.25">
      <c r="A150" s="3">
        <v>30</v>
      </c>
      <c r="B150" s="22" t="s">
        <v>782</v>
      </c>
      <c r="C150" s="3"/>
      <c r="D150" s="16" t="s">
        <v>619</v>
      </c>
      <c r="E150" s="3" t="s">
        <v>874</v>
      </c>
      <c r="F150" s="16" t="s">
        <v>696</v>
      </c>
      <c r="G150" s="3"/>
      <c r="H150" s="17" t="s">
        <v>958</v>
      </c>
      <c r="I150" s="25" t="s">
        <v>1035</v>
      </c>
      <c r="J150" s="3" t="s">
        <v>1415</v>
      </c>
      <c r="K150" s="27"/>
      <c r="L150" s="3"/>
      <c r="M150" s="3"/>
      <c r="N150" s="3"/>
      <c r="O150" s="3"/>
      <c r="P150" s="3"/>
      <c r="Q150" s="39"/>
      <c r="R150" s="39"/>
      <c r="S150" s="39"/>
      <c r="T150" s="3"/>
      <c r="U150" s="3"/>
      <c r="V150" s="3"/>
      <c r="W150" s="3"/>
      <c r="X150" s="3"/>
      <c r="Y150" s="3"/>
      <c r="Z150" s="3"/>
      <c r="AA150" s="3"/>
      <c r="AB150" s="3"/>
      <c r="AC150" s="41"/>
      <c r="AD150" s="41"/>
      <c r="AE150" s="3"/>
      <c r="AF150" s="3" t="s">
        <v>1396</v>
      </c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</row>
    <row r="151" spans="1:112" x14ac:dyDescent="0.25">
      <c r="A151" s="3">
        <v>179</v>
      </c>
      <c r="B151" s="20" t="s">
        <v>783</v>
      </c>
      <c r="C151" s="3"/>
      <c r="D151" s="16" t="s">
        <v>620</v>
      </c>
      <c r="E151" s="3" t="s">
        <v>875</v>
      </c>
      <c r="F151" s="16" t="s">
        <v>697</v>
      </c>
      <c r="G151" s="3"/>
      <c r="H151" s="17" t="s">
        <v>959</v>
      </c>
      <c r="I151" s="25" t="s">
        <v>1017</v>
      </c>
      <c r="J151" s="3" t="s">
        <v>1416</v>
      </c>
      <c r="K151" s="27"/>
      <c r="L151" s="3"/>
      <c r="M151" s="3"/>
      <c r="N151" s="3"/>
      <c r="O151" s="3"/>
      <c r="P151" s="3"/>
      <c r="Q151" s="39"/>
      <c r="R151" s="39"/>
      <c r="S151" s="39"/>
      <c r="T151" s="3"/>
      <c r="U151" s="3"/>
      <c r="V151" s="3"/>
      <c r="W151" s="3"/>
      <c r="X151" s="3"/>
      <c r="Y151" s="3"/>
      <c r="Z151" s="3"/>
      <c r="AA151" s="3"/>
      <c r="AB151" s="3"/>
      <c r="AC151" s="41"/>
      <c r="AD151" s="41"/>
      <c r="AE151" s="3"/>
      <c r="AF151" s="3" t="s">
        <v>1396</v>
      </c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</row>
    <row r="152" spans="1:112" x14ac:dyDescent="0.25">
      <c r="A152" s="3">
        <v>154</v>
      </c>
      <c r="B152" s="20" t="s">
        <v>784</v>
      </c>
      <c r="C152" s="3"/>
      <c r="D152" s="16" t="s">
        <v>621</v>
      </c>
      <c r="E152" s="3" t="s">
        <v>876</v>
      </c>
      <c r="F152" s="16" t="s">
        <v>698</v>
      </c>
      <c r="G152" s="3"/>
      <c r="H152" s="17" t="s">
        <v>960</v>
      </c>
      <c r="I152" s="25" t="s">
        <v>1036</v>
      </c>
      <c r="J152" s="3" t="s">
        <v>556</v>
      </c>
      <c r="K152" s="27"/>
      <c r="L152" s="3"/>
      <c r="M152" s="3"/>
      <c r="N152" s="3"/>
      <c r="O152" s="3"/>
      <c r="P152" s="3"/>
      <c r="Q152" s="39"/>
      <c r="R152" s="39"/>
      <c r="S152" s="39"/>
      <c r="T152" s="3"/>
      <c r="U152" s="3"/>
      <c r="V152" s="3"/>
      <c r="W152" s="3"/>
      <c r="X152" s="3"/>
      <c r="Y152" s="3"/>
      <c r="Z152" s="3"/>
      <c r="AA152" s="3"/>
      <c r="AB152" s="3"/>
      <c r="AC152" s="41"/>
      <c r="AD152" s="41"/>
      <c r="AE152" s="3"/>
      <c r="AF152" s="3" t="s">
        <v>1396</v>
      </c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</row>
    <row r="153" spans="1:112" x14ac:dyDescent="0.25">
      <c r="A153" s="3">
        <v>147</v>
      </c>
      <c r="B153" s="20" t="s">
        <v>785</v>
      </c>
      <c r="C153" s="3"/>
      <c r="D153" s="16" t="s">
        <v>878</v>
      </c>
      <c r="E153" s="3" t="s">
        <v>877</v>
      </c>
      <c r="F153" s="16" t="s">
        <v>699</v>
      </c>
      <c r="G153" s="3" t="s">
        <v>741</v>
      </c>
      <c r="H153" s="17" t="s">
        <v>961</v>
      </c>
      <c r="I153" s="25" t="s">
        <v>1037</v>
      </c>
      <c r="J153" s="3" t="s">
        <v>556</v>
      </c>
      <c r="K153" s="27"/>
      <c r="L153" s="3"/>
      <c r="M153" s="3"/>
      <c r="N153" s="3"/>
      <c r="O153" s="3"/>
      <c r="P153" s="3"/>
      <c r="Q153" s="39"/>
      <c r="R153" s="39"/>
      <c r="S153" s="39"/>
      <c r="T153" s="3"/>
      <c r="U153" s="3"/>
      <c r="V153" s="3"/>
      <c r="W153" s="3"/>
      <c r="X153" s="3"/>
      <c r="Y153" s="3"/>
      <c r="Z153" s="3"/>
      <c r="AA153" s="3"/>
      <c r="AB153" s="3"/>
      <c r="AC153" s="41"/>
      <c r="AD153" s="41"/>
      <c r="AE153" s="3"/>
      <c r="AF153" s="3" t="s">
        <v>1396</v>
      </c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</row>
    <row r="154" spans="1:112" x14ac:dyDescent="0.25">
      <c r="A154" s="3">
        <v>22</v>
      </c>
      <c r="B154" s="13" t="s">
        <v>786</v>
      </c>
      <c r="C154" s="3"/>
      <c r="D154" s="16" t="s">
        <v>622</v>
      </c>
      <c r="E154" s="3" t="s">
        <v>879</v>
      </c>
      <c r="F154" s="16" t="s">
        <v>700</v>
      </c>
      <c r="G154" s="3"/>
      <c r="H154" s="17" t="s">
        <v>962</v>
      </c>
      <c r="I154" s="25" t="s">
        <v>1038</v>
      </c>
      <c r="J154" s="3" t="s">
        <v>561</v>
      </c>
      <c r="K154" s="27"/>
      <c r="L154" s="3"/>
      <c r="M154" s="3"/>
      <c r="N154" s="3"/>
      <c r="O154" s="3"/>
      <c r="P154" s="3"/>
      <c r="Q154" s="39"/>
      <c r="R154" s="39"/>
      <c r="S154" s="39"/>
      <c r="T154" s="3"/>
      <c r="U154" s="3"/>
      <c r="V154" s="3"/>
      <c r="W154" s="3"/>
      <c r="X154" s="3"/>
      <c r="Y154" s="3"/>
      <c r="Z154" s="3"/>
      <c r="AA154" s="3"/>
      <c r="AB154" s="3"/>
      <c r="AC154" s="41"/>
      <c r="AD154" s="41"/>
      <c r="AE154" s="3"/>
      <c r="AF154" s="3" t="s">
        <v>1396</v>
      </c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</row>
    <row r="155" spans="1:112" x14ac:dyDescent="0.25">
      <c r="A155" s="3">
        <v>18</v>
      </c>
      <c r="B155" s="13" t="s">
        <v>787</v>
      </c>
      <c r="C155" s="3"/>
      <c r="D155" s="17" t="s">
        <v>623</v>
      </c>
      <c r="E155" s="3" t="s">
        <v>880</v>
      </c>
      <c r="F155" s="17" t="s">
        <v>701</v>
      </c>
      <c r="G155" s="3"/>
      <c r="H155" s="17" t="s">
        <v>963</v>
      </c>
      <c r="I155" s="24" t="s">
        <v>1003</v>
      </c>
      <c r="J155" s="3" t="s">
        <v>556</v>
      </c>
      <c r="K155" s="27"/>
      <c r="L155" s="3"/>
      <c r="M155" s="3"/>
      <c r="N155" s="3"/>
      <c r="O155" s="3"/>
      <c r="P155" s="3"/>
      <c r="Q155" s="39"/>
      <c r="R155" s="39"/>
      <c r="S155" s="39"/>
      <c r="T155" s="3"/>
      <c r="U155" s="3"/>
      <c r="V155" s="3"/>
      <c r="W155" s="3"/>
      <c r="X155" s="3"/>
      <c r="Y155" s="3"/>
      <c r="Z155" s="3"/>
      <c r="AA155" s="3"/>
      <c r="AB155" s="3"/>
      <c r="AC155" s="41"/>
      <c r="AD155" s="41"/>
      <c r="AE155" s="3"/>
      <c r="AF155" s="3" t="s">
        <v>1396</v>
      </c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</row>
    <row r="156" spans="1:112" x14ac:dyDescent="0.25">
      <c r="A156" s="3">
        <v>9</v>
      </c>
      <c r="B156" s="13" t="s">
        <v>788</v>
      </c>
      <c r="C156" s="3"/>
      <c r="D156" s="17" t="s">
        <v>624</v>
      </c>
      <c r="E156" s="3" t="s">
        <v>881</v>
      </c>
      <c r="F156" s="17" t="s">
        <v>702</v>
      </c>
      <c r="G156" s="3"/>
      <c r="H156" s="17" t="s">
        <v>964</v>
      </c>
      <c r="I156" s="25" t="s">
        <v>1039</v>
      </c>
      <c r="J156" s="3" t="s">
        <v>556</v>
      </c>
      <c r="K156" s="27"/>
      <c r="L156" s="3"/>
      <c r="M156" s="3"/>
      <c r="N156" s="3"/>
      <c r="O156" s="3"/>
      <c r="P156" s="3"/>
      <c r="Q156" s="39"/>
      <c r="R156" s="39"/>
      <c r="S156" s="39"/>
      <c r="T156" s="3"/>
      <c r="U156" s="3"/>
      <c r="V156" s="3"/>
      <c r="W156" s="3"/>
      <c r="X156" s="3"/>
      <c r="Y156" s="3"/>
      <c r="Z156" s="3"/>
      <c r="AA156" s="3"/>
      <c r="AB156" s="3"/>
      <c r="AC156" s="41"/>
      <c r="AD156" s="41"/>
      <c r="AE156" s="3"/>
      <c r="AF156" s="3" t="s">
        <v>1396</v>
      </c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  <c r="BU156" s="3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</row>
    <row r="157" spans="1:112" x14ac:dyDescent="0.25">
      <c r="A157" s="3">
        <v>173</v>
      </c>
      <c r="B157" s="13" t="s">
        <v>789</v>
      </c>
      <c r="C157" s="3"/>
      <c r="D157" s="16" t="s">
        <v>625</v>
      </c>
      <c r="E157" s="3" t="s">
        <v>882</v>
      </c>
      <c r="F157" s="16" t="s">
        <v>703</v>
      </c>
      <c r="G157" s="3"/>
      <c r="H157" s="17" t="s">
        <v>965</v>
      </c>
      <c r="I157" s="25" t="s">
        <v>1040</v>
      </c>
      <c r="J157" s="3" t="s">
        <v>556</v>
      </c>
      <c r="K157" s="27"/>
      <c r="L157" s="3"/>
      <c r="M157" s="3"/>
      <c r="N157" s="3"/>
      <c r="O157" s="3"/>
      <c r="P157" s="3"/>
      <c r="Q157" s="39"/>
      <c r="R157" s="39"/>
      <c r="S157" s="39"/>
      <c r="T157" s="3"/>
      <c r="U157" s="3"/>
      <c r="V157" s="3"/>
      <c r="W157" s="3"/>
      <c r="X157" s="3"/>
      <c r="Y157" s="3"/>
      <c r="Z157" s="3"/>
      <c r="AA157" s="3"/>
      <c r="AB157" s="3"/>
      <c r="AC157" s="41"/>
      <c r="AD157" s="41"/>
      <c r="AE157" s="3"/>
      <c r="AF157" s="3" t="s">
        <v>1396</v>
      </c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</row>
    <row r="158" spans="1:112" x14ac:dyDescent="0.25">
      <c r="A158" s="3">
        <v>152</v>
      </c>
      <c r="B158" s="22" t="s">
        <v>790</v>
      </c>
      <c r="C158" s="3"/>
      <c r="D158" s="16" t="s">
        <v>626</v>
      </c>
      <c r="E158" s="3" t="s">
        <v>883</v>
      </c>
      <c r="F158" s="16" t="s">
        <v>704</v>
      </c>
      <c r="G158" s="3"/>
      <c r="H158" s="17" t="s">
        <v>966</v>
      </c>
      <c r="I158" s="25" t="s">
        <v>1018</v>
      </c>
      <c r="J158" s="3" t="s">
        <v>556</v>
      </c>
      <c r="K158" s="27"/>
      <c r="L158" s="3"/>
      <c r="M158" s="3"/>
      <c r="N158" s="3"/>
      <c r="O158" s="3"/>
      <c r="P158" s="3"/>
      <c r="Q158" s="39"/>
      <c r="R158" s="39"/>
      <c r="S158" s="39"/>
      <c r="T158" s="3"/>
      <c r="U158" s="3"/>
      <c r="V158" s="3"/>
      <c r="W158" s="3"/>
      <c r="X158" s="3"/>
      <c r="Y158" s="3"/>
      <c r="Z158" s="3"/>
      <c r="AA158" s="3"/>
      <c r="AB158" s="3"/>
      <c r="AC158" s="41"/>
      <c r="AD158" s="41"/>
      <c r="AE158" s="3"/>
      <c r="AF158" s="3" t="s">
        <v>1396</v>
      </c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</row>
    <row r="159" spans="1:112" x14ac:dyDescent="0.25">
      <c r="A159" s="3">
        <v>11</v>
      </c>
      <c r="B159" s="13" t="s">
        <v>791</v>
      </c>
      <c r="C159" s="3"/>
      <c r="D159" s="16" t="s">
        <v>626</v>
      </c>
      <c r="E159" s="3" t="s">
        <v>884</v>
      </c>
      <c r="F159" s="16" t="s">
        <v>705</v>
      </c>
      <c r="G159" s="3"/>
      <c r="H159" s="17" t="s">
        <v>967</v>
      </c>
      <c r="I159" s="25" t="s">
        <v>1019</v>
      </c>
      <c r="J159" s="3" t="s">
        <v>556</v>
      </c>
      <c r="K159" s="27"/>
      <c r="L159" s="3"/>
      <c r="M159" s="3"/>
      <c r="N159" s="3"/>
      <c r="O159" s="3"/>
      <c r="P159" s="3"/>
      <c r="Q159" s="39"/>
      <c r="R159" s="39"/>
      <c r="S159" s="39"/>
      <c r="T159" s="3"/>
      <c r="U159" s="3"/>
      <c r="V159" s="3"/>
      <c r="W159" s="3"/>
      <c r="X159" s="3"/>
      <c r="Y159" s="3"/>
      <c r="Z159" s="3"/>
      <c r="AA159" s="3"/>
      <c r="AB159" s="3"/>
      <c r="AC159" s="41"/>
      <c r="AD159" s="41"/>
      <c r="AE159" s="3"/>
      <c r="AF159" s="3" t="s">
        <v>1396</v>
      </c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</row>
    <row r="160" spans="1:112" x14ac:dyDescent="0.25">
      <c r="A160" s="3">
        <v>5</v>
      </c>
      <c r="B160" s="22" t="s">
        <v>792</v>
      </c>
      <c r="C160" s="3"/>
      <c r="D160" s="16" t="s">
        <v>627</v>
      </c>
      <c r="E160" s="3" t="s">
        <v>885</v>
      </c>
      <c r="F160" s="16" t="s">
        <v>706</v>
      </c>
      <c r="G160" s="3"/>
      <c r="H160" s="17" t="s">
        <v>968</v>
      </c>
      <c r="I160" s="25" t="s">
        <v>1020</v>
      </c>
      <c r="J160" s="3" t="s">
        <v>561</v>
      </c>
      <c r="K160" s="27"/>
      <c r="L160" s="3"/>
      <c r="M160" s="3"/>
      <c r="N160" s="3"/>
      <c r="O160" s="3"/>
      <c r="P160" s="3"/>
      <c r="Q160" s="39"/>
      <c r="R160" s="39"/>
      <c r="S160" s="39"/>
      <c r="T160" s="3"/>
      <c r="U160" s="3"/>
      <c r="V160" s="3"/>
      <c r="W160" s="3"/>
      <c r="X160" s="3"/>
      <c r="Y160" s="3"/>
      <c r="Z160" s="3"/>
      <c r="AA160" s="3"/>
      <c r="AB160" s="3"/>
      <c r="AC160" s="41"/>
      <c r="AD160" s="41"/>
      <c r="AE160" s="3"/>
      <c r="AF160" s="3" t="s">
        <v>1396</v>
      </c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</row>
    <row r="161" spans="1:112" x14ac:dyDescent="0.25">
      <c r="A161" s="3">
        <v>12</v>
      </c>
      <c r="B161" s="22" t="s">
        <v>793</v>
      </c>
      <c r="C161" s="3"/>
      <c r="D161" s="16" t="s">
        <v>628</v>
      </c>
      <c r="E161" s="3" t="s">
        <v>886</v>
      </c>
      <c r="F161" s="16" t="s">
        <v>707</v>
      </c>
      <c r="G161" s="3"/>
      <c r="H161" s="17" t="s">
        <v>969</v>
      </c>
      <c r="I161" s="25" t="s">
        <v>1041</v>
      </c>
      <c r="J161" s="3" t="s">
        <v>556</v>
      </c>
      <c r="K161" s="27"/>
      <c r="L161" s="3"/>
      <c r="M161" s="3"/>
      <c r="N161" s="3"/>
      <c r="O161" s="3"/>
      <c r="P161" s="3"/>
      <c r="Q161" s="39"/>
      <c r="R161" s="39"/>
      <c r="S161" s="39"/>
      <c r="T161" s="3"/>
      <c r="U161" s="3"/>
      <c r="V161" s="3"/>
      <c r="W161" s="3"/>
      <c r="X161" s="3"/>
      <c r="Y161" s="3"/>
      <c r="Z161" s="3"/>
      <c r="AA161" s="3"/>
      <c r="AB161" s="3"/>
      <c r="AC161" s="41"/>
      <c r="AD161" s="41"/>
      <c r="AE161" s="3"/>
      <c r="AF161" s="3" t="s">
        <v>1396</v>
      </c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</row>
    <row r="162" spans="1:112" x14ac:dyDescent="0.25">
      <c r="A162" s="3">
        <v>14</v>
      </c>
      <c r="B162" s="22" t="s">
        <v>794</v>
      </c>
      <c r="C162" s="3"/>
      <c r="D162" s="16" t="s">
        <v>629</v>
      </c>
      <c r="E162" s="3" t="s">
        <v>887</v>
      </c>
      <c r="F162" s="16" t="s">
        <v>708</v>
      </c>
      <c r="G162" s="3"/>
      <c r="H162" s="17" t="s">
        <v>970</v>
      </c>
      <c r="I162" s="25" t="s">
        <v>1042</v>
      </c>
      <c r="J162" s="3" t="s">
        <v>556</v>
      </c>
      <c r="K162" s="27"/>
      <c r="L162" s="3"/>
      <c r="M162" s="3"/>
      <c r="N162" s="3"/>
      <c r="O162" s="3"/>
      <c r="P162" s="3"/>
      <c r="Q162" s="39"/>
      <c r="R162" s="39"/>
      <c r="S162" s="39"/>
      <c r="T162" s="3"/>
      <c r="U162" s="3"/>
      <c r="V162" s="3"/>
      <c r="W162" s="3"/>
      <c r="X162" s="3"/>
      <c r="Y162" s="3"/>
      <c r="Z162" s="3"/>
      <c r="AA162" s="3"/>
      <c r="AB162" s="3"/>
      <c r="AC162" s="41"/>
      <c r="AD162" s="41"/>
      <c r="AE162" s="3"/>
      <c r="AF162" s="3" t="s">
        <v>1396</v>
      </c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</row>
    <row r="163" spans="1:112" x14ac:dyDescent="0.25">
      <c r="A163" s="3">
        <v>25</v>
      </c>
      <c r="B163" s="22" t="s">
        <v>795</v>
      </c>
      <c r="C163" s="3"/>
      <c r="D163" s="16" t="s">
        <v>630</v>
      </c>
      <c r="E163" s="3" t="s">
        <v>709</v>
      </c>
      <c r="F163" s="16" t="s">
        <v>888</v>
      </c>
      <c r="G163" s="3"/>
      <c r="H163" s="17" t="s">
        <v>971</v>
      </c>
      <c r="I163" s="25" t="s">
        <v>1043</v>
      </c>
      <c r="J163" s="3" t="s">
        <v>556</v>
      </c>
      <c r="K163" s="27"/>
      <c r="L163" s="3"/>
      <c r="M163" s="3"/>
      <c r="N163" s="3"/>
      <c r="O163" s="3"/>
      <c r="P163" s="3"/>
      <c r="Q163" s="39"/>
      <c r="R163" s="39"/>
      <c r="S163" s="39"/>
      <c r="T163" s="3"/>
      <c r="U163" s="3"/>
      <c r="V163" s="3"/>
      <c r="W163" s="3"/>
      <c r="X163" s="3"/>
      <c r="Y163" s="3"/>
      <c r="Z163" s="3"/>
      <c r="AA163" s="3"/>
      <c r="AB163" s="3"/>
      <c r="AC163" s="41"/>
      <c r="AD163" s="41"/>
      <c r="AE163" s="3"/>
      <c r="AF163" s="3" t="s">
        <v>1396</v>
      </c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</row>
    <row r="164" spans="1:112" x14ac:dyDescent="0.25">
      <c r="A164" s="3">
        <v>31</v>
      </c>
      <c r="B164" s="22" t="s">
        <v>796</v>
      </c>
      <c r="C164" s="3"/>
      <c r="D164" s="16" t="s">
        <v>631</v>
      </c>
      <c r="E164" s="3" t="s">
        <v>710</v>
      </c>
      <c r="F164" s="16" t="s">
        <v>889</v>
      </c>
      <c r="G164" s="3"/>
      <c r="H164" s="17" t="s">
        <v>972</v>
      </c>
      <c r="I164" s="25" t="s">
        <v>1044</v>
      </c>
      <c r="J164" s="3" t="s">
        <v>556</v>
      </c>
      <c r="K164" s="27"/>
      <c r="L164" s="3"/>
      <c r="M164" s="3"/>
      <c r="N164" s="3"/>
      <c r="O164" s="3"/>
      <c r="P164" s="3"/>
      <c r="Q164" s="39"/>
      <c r="R164" s="39"/>
      <c r="S164" s="39"/>
      <c r="T164" s="3"/>
      <c r="U164" s="3"/>
      <c r="V164" s="3"/>
      <c r="W164" s="3"/>
      <c r="X164" s="3"/>
      <c r="Y164" s="3"/>
      <c r="Z164" s="3"/>
      <c r="AA164" s="3"/>
      <c r="AB164" s="3"/>
      <c r="AC164" s="41"/>
      <c r="AD164" s="41"/>
      <c r="AE164" s="3"/>
      <c r="AF164" s="3" t="s">
        <v>1396</v>
      </c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</row>
    <row r="165" spans="1:112" x14ac:dyDescent="0.25">
      <c r="A165" s="3">
        <v>17</v>
      </c>
      <c r="B165" s="13" t="s">
        <v>797</v>
      </c>
      <c r="C165" s="3"/>
      <c r="D165" s="16" t="s">
        <v>632</v>
      </c>
      <c r="E165" s="3" t="s">
        <v>890</v>
      </c>
      <c r="F165" s="16" t="s">
        <v>711</v>
      </c>
      <c r="G165" s="3"/>
      <c r="H165" s="17" t="s">
        <v>973</v>
      </c>
      <c r="I165" s="25" t="s">
        <v>1045</v>
      </c>
      <c r="J165" s="3" t="s">
        <v>556</v>
      </c>
      <c r="K165" s="27"/>
      <c r="L165" s="3"/>
      <c r="M165" s="3"/>
      <c r="N165" s="3"/>
      <c r="O165" s="3"/>
      <c r="P165" s="3"/>
      <c r="Q165" s="39"/>
      <c r="R165" s="39"/>
      <c r="S165" s="39"/>
      <c r="T165" s="3"/>
      <c r="U165" s="3"/>
      <c r="V165" s="3"/>
      <c r="W165" s="3"/>
      <c r="X165" s="3"/>
      <c r="Y165" s="3"/>
      <c r="Z165" s="3"/>
      <c r="AA165" s="3"/>
      <c r="AB165" s="3"/>
      <c r="AC165" s="41"/>
      <c r="AD165" s="41"/>
      <c r="AE165" s="3"/>
      <c r="AF165" s="3" t="s">
        <v>1396</v>
      </c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</row>
    <row r="166" spans="1:112" x14ac:dyDescent="0.25">
      <c r="A166" s="3">
        <v>21</v>
      </c>
      <c r="B166" s="13" t="s">
        <v>798</v>
      </c>
      <c r="C166" s="3"/>
      <c r="D166" s="16" t="s">
        <v>633</v>
      </c>
      <c r="E166" s="3" t="s">
        <v>891</v>
      </c>
      <c r="F166" s="16" t="s">
        <v>712</v>
      </c>
      <c r="G166" s="3"/>
      <c r="H166" s="17" t="s">
        <v>974</v>
      </c>
      <c r="I166" s="25" t="s">
        <v>1046</v>
      </c>
      <c r="J166" s="3" t="s">
        <v>556</v>
      </c>
      <c r="K166" s="27"/>
      <c r="L166" s="3"/>
      <c r="M166" s="3"/>
      <c r="N166" s="3"/>
      <c r="O166" s="3"/>
      <c r="P166" s="3"/>
      <c r="Q166" s="39"/>
      <c r="R166" s="39"/>
      <c r="S166" s="39"/>
      <c r="T166" s="3"/>
      <c r="U166" s="3"/>
      <c r="V166" s="3"/>
      <c r="W166" s="3"/>
      <c r="X166" s="3"/>
      <c r="Y166" s="3"/>
      <c r="Z166" s="3"/>
      <c r="AA166" s="3"/>
      <c r="AB166" s="3"/>
      <c r="AC166" s="41"/>
      <c r="AD166" s="41"/>
      <c r="AE166" s="3"/>
      <c r="AF166" s="3" t="s">
        <v>1396</v>
      </c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</row>
    <row r="167" spans="1:112" x14ac:dyDescent="0.25">
      <c r="A167" s="3">
        <v>23</v>
      </c>
      <c r="B167" s="13" t="s">
        <v>799</v>
      </c>
      <c r="C167" s="3"/>
      <c r="D167" s="16" t="s">
        <v>634</v>
      </c>
      <c r="E167" s="3" t="s">
        <v>892</v>
      </c>
      <c r="F167" s="16" t="s">
        <v>713</v>
      </c>
      <c r="G167" s="3"/>
      <c r="H167" s="17" t="s">
        <v>975</v>
      </c>
      <c r="I167" s="25" t="s">
        <v>1047</v>
      </c>
      <c r="J167" s="3" t="s">
        <v>1423</v>
      </c>
      <c r="K167" s="27"/>
      <c r="L167" s="3"/>
      <c r="M167" s="3"/>
      <c r="N167" s="3"/>
      <c r="O167" s="3"/>
      <c r="P167" s="3"/>
      <c r="Q167" s="39"/>
      <c r="R167" s="39"/>
      <c r="S167" s="39"/>
      <c r="T167" s="3"/>
      <c r="U167" s="3"/>
      <c r="V167" s="3"/>
      <c r="W167" s="3"/>
      <c r="X167" s="3"/>
      <c r="Y167" s="3"/>
      <c r="Z167" s="3"/>
      <c r="AA167" s="3"/>
      <c r="AB167" s="3"/>
      <c r="AC167" s="41"/>
      <c r="AD167" s="41"/>
      <c r="AE167" s="3"/>
      <c r="AF167" s="3" t="s">
        <v>1396</v>
      </c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</row>
    <row r="168" spans="1:112" x14ac:dyDescent="0.25">
      <c r="A168" s="3">
        <v>113</v>
      </c>
      <c r="B168" s="20" t="s">
        <v>800</v>
      </c>
      <c r="C168" s="3"/>
      <c r="D168" s="16" t="s">
        <v>635</v>
      </c>
      <c r="E168" s="3" t="s">
        <v>893</v>
      </c>
      <c r="F168" s="16" t="s">
        <v>714</v>
      </c>
      <c r="G168" s="3"/>
      <c r="H168" s="17" t="s">
        <v>976</v>
      </c>
      <c r="I168" s="31" t="s">
        <v>1048</v>
      </c>
      <c r="J168" s="3" t="s">
        <v>556</v>
      </c>
      <c r="K168" s="27"/>
      <c r="L168" s="3"/>
      <c r="M168" s="3"/>
      <c r="N168" s="3"/>
      <c r="O168" s="3"/>
      <c r="P168" s="3"/>
      <c r="Q168" s="39"/>
      <c r="R168" s="39"/>
      <c r="S168" s="39"/>
      <c r="T168" s="3"/>
      <c r="U168" s="3"/>
      <c r="V168" s="3"/>
      <c r="W168" s="3"/>
      <c r="X168" s="3"/>
      <c r="Y168" s="3"/>
      <c r="Z168" s="3"/>
      <c r="AA168" s="3"/>
      <c r="AB168" s="3"/>
      <c r="AC168" s="41"/>
      <c r="AD168" s="41"/>
      <c r="AE168" s="3"/>
      <c r="AF168" s="3" t="s">
        <v>1396</v>
      </c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</row>
    <row r="169" spans="1:112" x14ac:dyDescent="0.25">
      <c r="A169" s="3">
        <v>7</v>
      </c>
      <c r="B169" s="13" t="s">
        <v>801</v>
      </c>
      <c r="C169" s="3"/>
      <c r="D169" s="16" t="s">
        <v>636</v>
      </c>
      <c r="E169" s="3"/>
      <c r="F169" s="16" t="s">
        <v>715</v>
      </c>
      <c r="G169" s="3"/>
      <c r="H169" s="17" t="s">
        <v>977</v>
      </c>
      <c r="I169" s="31" t="s">
        <v>1049</v>
      </c>
      <c r="J169" s="3" t="s">
        <v>561</v>
      </c>
      <c r="K169" s="27"/>
      <c r="L169" s="3"/>
      <c r="M169" s="3"/>
      <c r="N169" s="3"/>
      <c r="O169" s="3"/>
      <c r="P169" s="3"/>
      <c r="Q169" s="39"/>
      <c r="R169" s="39"/>
      <c r="S169" s="39"/>
      <c r="T169" s="3"/>
      <c r="U169" s="3"/>
      <c r="V169" s="3"/>
      <c r="W169" s="3"/>
      <c r="X169" s="3"/>
      <c r="Y169" s="3"/>
      <c r="Z169" s="3"/>
      <c r="AA169" s="3"/>
      <c r="AB169" s="3"/>
      <c r="AC169" s="41"/>
      <c r="AD169" s="41"/>
      <c r="AE169" s="3"/>
      <c r="AF169" s="3" t="s">
        <v>1396</v>
      </c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</row>
    <row r="170" spans="1:112" x14ac:dyDescent="0.25">
      <c r="A170" s="3">
        <v>112</v>
      </c>
      <c r="B170" s="13" t="s">
        <v>802</v>
      </c>
      <c r="C170" s="3"/>
      <c r="D170" s="16" t="s">
        <v>637</v>
      </c>
      <c r="E170" s="3" t="s">
        <v>894</v>
      </c>
      <c r="F170" s="16" t="s">
        <v>716</v>
      </c>
      <c r="G170" s="3"/>
      <c r="H170" s="17" t="s">
        <v>978</v>
      </c>
      <c r="I170" s="31" t="s">
        <v>1050</v>
      </c>
      <c r="J170" s="3" t="s">
        <v>556</v>
      </c>
      <c r="K170" s="27"/>
      <c r="L170" s="3"/>
      <c r="M170" s="3"/>
      <c r="N170" s="3"/>
      <c r="O170" s="3"/>
      <c r="P170" s="3"/>
      <c r="Q170" s="39"/>
      <c r="R170" s="39"/>
      <c r="S170" s="39"/>
      <c r="T170" s="3"/>
      <c r="U170" s="3"/>
      <c r="V170" s="3"/>
      <c r="W170" s="3"/>
      <c r="X170" s="3"/>
      <c r="Y170" s="3"/>
      <c r="Z170" s="3"/>
      <c r="AA170" s="3"/>
      <c r="AB170" s="3"/>
      <c r="AC170" s="41"/>
      <c r="AD170" s="41"/>
      <c r="AE170" s="3"/>
      <c r="AF170" s="3" t="s">
        <v>1396</v>
      </c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</row>
    <row r="171" spans="1:112" x14ac:dyDescent="0.25">
      <c r="A171" s="3">
        <v>115</v>
      </c>
      <c r="B171" s="20" t="s">
        <v>803</v>
      </c>
      <c r="C171" s="3"/>
      <c r="D171" s="16" t="s">
        <v>638</v>
      </c>
      <c r="E171" s="3" t="s">
        <v>895</v>
      </c>
      <c r="F171" s="16" t="s">
        <v>717</v>
      </c>
      <c r="G171" s="3"/>
      <c r="H171" s="17" t="s">
        <v>979</v>
      </c>
      <c r="I171" s="31" t="s">
        <v>1051</v>
      </c>
      <c r="J171" s="3" t="s">
        <v>556</v>
      </c>
      <c r="K171" s="27"/>
      <c r="L171" s="3"/>
      <c r="M171" s="3"/>
      <c r="N171" s="3"/>
      <c r="O171" s="3"/>
      <c r="P171" s="3"/>
      <c r="Q171" s="39"/>
      <c r="R171" s="39"/>
      <c r="S171" s="39"/>
      <c r="T171" s="3"/>
      <c r="U171" s="3"/>
      <c r="V171" s="3"/>
      <c r="W171" s="3"/>
      <c r="X171" s="3"/>
      <c r="Y171" s="3"/>
      <c r="Z171" s="3"/>
      <c r="AA171" s="3"/>
      <c r="AB171" s="3"/>
      <c r="AC171" s="41"/>
      <c r="AD171" s="41"/>
      <c r="AE171" s="3"/>
      <c r="AF171" s="3" t="s">
        <v>1396</v>
      </c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</row>
    <row r="172" spans="1:112" x14ac:dyDescent="0.25">
      <c r="A172" s="3">
        <v>13</v>
      </c>
      <c r="B172" s="13" t="s">
        <v>804</v>
      </c>
      <c r="C172" s="3"/>
      <c r="D172" s="16" t="s">
        <v>639</v>
      </c>
      <c r="E172" s="3" t="s">
        <v>896</v>
      </c>
      <c r="F172" s="16" t="s">
        <v>718</v>
      </c>
      <c r="G172" s="3"/>
      <c r="H172" s="17" t="s">
        <v>980</v>
      </c>
      <c r="I172" s="31" t="s">
        <v>1052</v>
      </c>
      <c r="J172" s="3" t="s">
        <v>556</v>
      </c>
      <c r="K172" s="27"/>
      <c r="L172" s="3"/>
      <c r="M172" s="3"/>
      <c r="N172" s="3"/>
      <c r="O172" s="3"/>
      <c r="P172" s="3"/>
      <c r="Q172" s="39"/>
      <c r="R172" s="39"/>
      <c r="S172" s="39"/>
      <c r="T172" s="3"/>
      <c r="U172" s="3"/>
      <c r="V172" s="3"/>
      <c r="W172" s="3"/>
      <c r="X172" s="3"/>
      <c r="Y172" s="3"/>
      <c r="Z172" s="3"/>
      <c r="AA172" s="3"/>
      <c r="AB172" s="3"/>
      <c r="AC172" s="41"/>
      <c r="AD172" s="41"/>
      <c r="AE172" s="3"/>
      <c r="AF172" s="3" t="s">
        <v>1396</v>
      </c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</row>
    <row r="173" spans="1:112" x14ac:dyDescent="0.25">
      <c r="A173" s="3">
        <v>24</v>
      </c>
      <c r="B173" s="22" t="s">
        <v>805</v>
      </c>
      <c r="C173" s="3"/>
      <c r="D173" s="16" t="s">
        <v>640</v>
      </c>
      <c r="E173" s="3" t="s">
        <v>897</v>
      </c>
      <c r="F173" s="16" t="s">
        <v>719</v>
      </c>
      <c r="G173" s="3"/>
      <c r="H173" s="17" t="s">
        <v>981</v>
      </c>
      <c r="I173" s="31" t="s">
        <v>1050</v>
      </c>
      <c r="J173" s="3" t="s">
        <v>556</v>
      </c>
      <c r="K173" s="27"/>
      <c r="L173" s="3"/>
      <c r="M173" s="3"/>
      <c r="N173" s="3"/>
      <c r="O173" s="3"/>
      <c r="P173" s="3"/>
      <c r="Q173" s="39"/>
      <c r="R173" s="39"/>
      <c r="S173" s="39"/>
      <c r="T173" s="3"/>
      <c r="U173" s="3"/>
      <c r="V173" s="3"/>
      <c r="W173" s="3"/>
      <c r="X173" s="3"/>
      <c r="Y173" s="3"/>
      <c r="Z173" s="3"/>
      <c r="AA173" s="3"/>
      <c r="AB173" s="3"/>
      <c r="AC173" s="41"/>
      <c r="AD173" s="41"/>
      <c r="AE173" s="3"/>
      <c r="AF173" s="3" t="s">
        <v>1396</v>
      </c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</row>
    <row r="174" spans="1:112" x14ac:dyDescent="0.25">
      <c r="A174" s="3">
        <v>100</v>
      </c>
      <c r="B174" s="22" t="s">
        <v>806</v>
      </c>
      <c r="C174" s="3"/>
      <c r="D174" s="16" t="s">
        <v>641</v>
      </c>
      <c r="E174" s="3" t="s">
        <v>720</v>
      </c>
      <c r="F174" s="16" t="s">
        <v>898</v>
      </c>
      <c r="G174" s="3"/>
      <c r="H174" s="17" t="s">
        <v>982</v>
      </c>
      <c r="I174" s="31" t="s">
        <v>1053</v>
      </c>
      <c r="J174" s="3" t="s">
        <v>556</v>
      </c>
      <c r="K174" s="27"/>
      <c r="L174" s="3"/>
      <c r="M174" s="3"/>
      <c r="N174" s="3"/>
      <c r="O174" s="3"/>
      <c r="P174" s="3"/>
      <c r="Q174" s="39"/>
      <c r="R174" s="39"/>
      <c r="S174" s="39"/>
      <c r="T174" s="3"/>
      <c r="U174" s="3"/>
      <c r="V174" s="3"/>
      <c r="W174" s="3"/>
      <c r="X174" s="3"/>
      <c r="Y174" s="3"/>
      <c r="Z174" s="3"/>
      <c r="AA174" s="3"/>
      <c r="AB174" s="3"/>
      <c r="AC174" s="41"/>
      <c r="AD174" s="41"/>
      <c r="AE174" s="3"/>
      <c r="AF174" s="3" t="s">
        <v>1396</v>
      </c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</row>
    <row r="175" spans="1:112" x14ac:dyDescent="0.25">
      <c r="A175" s="3">
        <v>20</v>
      </c>
      <c r="B175" s="13" t="s">
        <v>807</v>
      </c>
      <c r="C175" s="3"/>
      <c r="D175" s="16" t="s">
        <v>599</v>
      </c>
      <c r="E175" s="3" t="s">
        <v>899</v>
      </c>
      <c r="F175" s="16" t="s">
        <v>721</v>
      </c>
      <c r="G175" s="3"/>
      <c r="H175" s="17" t="s">
        <v>983</v>
      </c>
      <c r="I175" s="31" t="s">
        <v>1054</v>
      </c>
      <c r="J175" s="3" t="s">
        <v>556</v>
      </c>
      <c r="K175" s="27"/>
      <c r="L175" s="3"/>
      <c r="M175" s="3"/>
      <c r="N175" s="3"/>
      <c r="O175" s="3"/>
      <c r="P175" s="3"/>
      <c r="Q175" s="39"/>
      <c r="R175" s="39"/>
      <c r="S175" s="39"/>
      <c r="T175" s="3"/>
      <c r="U175" s="3"/>
      <c r="V175" s="3"/>
      <c r="W175" s="3"/>
      <c r="X175" s="3"/>
      <c r="Y175" s="3"/>
      <c r="Z175" s="3"/>
      <c r="AA175" s="3"/>
      <c r="AB175" s="3"/>
      <c r="AC175" s="41"/>
      <c r="AD175" s="41"/>
      <c r="AE175" s="3"/>
      <c r="AF175" s="3" t="s">
        <v>1396</v>
      </c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</row>
    <row r="176" spans="1:112" x14ac:dyDescent="0.25">
      <c r="A176" s="3">
        <v>137</v>
      </c>
      <c r="B176" s="20" t="s">
        <v>808</v>
      </c>
      <c r="C176" s="3"/>
      <c r="D176" s="16" t="s">
        <v>642</v>
      </c>
      <c r="E176" s="3" t="s">
        <v>900</v>
      </c>
      <c r="F176" s="16" t="s">
        <v>719</v>
      </c>
      <c r="G176" s="3"/>
      <c r="H176" s="17" t="s">
        <v>984</v>
      </c>
      <c r="I176" s="31" t="s">
        <v>1055</v>
      </c>
      <c r="J176" s="3" t="s">
        <v>556</v>
      </c>
      <c r="K176" s="27"/>
      <c r="L176" s="3"/>
      <c r="M176" s="3"/>
      <c r="N176" s="3"/>
      <c r="O176" s="3"/>
      <c r="P176" s="3"/>
      <c r="Q176" s="39"/>
      <c r="R176" s="39"/>
      <c r="S176" s="39"/>
      <c r="T176" s="3"/>
      <c r="U176" s="3"/>
      <c r="V176" s="3"/>
      <c r="W176" s="3"/>
      <c r="X176" s="3"/>
      <c r="Y176" s="3"/>
      <c r="Z176" s="3"/>
      <c r="AA176" s="3"/>
      <c r="AB176" s="3"/>
      <c r="AC176" s="41"/>
      <c r="AD176" s="41"/>
      <c r="AE176" s="3"/>
      <c r="AF176" s="3" t="s">
        <v>1396</v>
      </c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</row>
    <row r="177" spans="1:112" x14ac:dyDescent="0.25">
      <c r="A177" s="3">
        <v>138</v>
      </c>
      <c r="B177" s="20" t="s">
        <v>809</v>
      </c>
      <c r="C177" s="3"/>
      <c r="D177" s="16" t="s">
        <v>643</v>
      </c>
      <c r="E177" s="3" t="s">
        <v>901</v>
      </c>
      <c r="F177" s="16" t="s">
        <v>722</v>
      </c>
      <c r="G177" s="3"/>
      <c r="H177" s="17" t="s">
        <v>985</v>
      </c>
      <c r="I177" s="31" t="s">
        <v>1055</v>
      </c>
      <c r="J177" s="3" t="s">
        <v>556</v>
      </c>
      <c r="K177" s="27"/>
      <c r="L177" s="3"/>
      <c r="M177" s="3"/>
      <c r="N177" s="3"/>
      <c r="O177" s="3"/>
      <c r="P177" s="3"/>
      <c r="Q177" s="39"/>
      <c r="R177" s="39"/>
      <c r="S177" s="39"/>
      <c r="T177" s="3"/>
      <c r="U177" s="3"/>
      <c r="V177" s="3"/>
      <c r="W177" s="3"/>
      <c r="X177" s="3"/>
      <c r="Y177" s="3"/>
      <c r="Z177" s="3"/>
      <c r="AA177" s="3"/>
      <c r="AB177" s="3"/>
      <c r="AC177" s="41"/>
      <c r="AD177" s="41"/>
      <c r="AE177" s="3"/>
      <c r="AF177" s="3" t="s">
        <v>1396</v>
      </c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</row>
    <row r="178" spans="1:112" x14ac:dyDescent="0.25">
      <c r="A178" s="3">
        <v>60</v>
      </c>
      <c r="B178" s="13" t="s">
        <v>810</v>
      </c>
      <c r="C178" s="3"/>
      <c r="D178" s="17" t="s">
        <v>644</v>
      </c>
      <c r="E178" s="3" t="s">
        <v>902</v>
      </c>
      <c r="F178" s="17" t="s">
        <v>723</v>
      </c>
      <c r="G178" s="3"/>
      <c r="H178" s="17" t="s">
        <v>986</v>
      </c>
      <c r="I178" s="24" t="s">
        <v>1003</v>
      </c>
      <c r="J178" s="3" t="s">
        <v>556</v>
      </c>
      <c r="K178" s="27"/>
      <c r="L178" s="3"/>
      <c r="M178" s="3"/>
      <c r="N178" s="3"/>
      <c r="O178" s="3"/>
      <c r="P178" s="3"/>
      <c r="Q178" s="39"/>
      <c r="R178" s="39"/>
      <c r="S178" s="39"/>
      <c r="T178" s="3"/>
      <c r="U178" s="3"/>
      <c r="V178" s="3"/>
      <c r="W178" s="3"/>
      <c r="X178" s="3"/>
      <c r="Y178" s="3"/>
      <c r="Z178" s="3"/>
      <c r="AA178" s="3"/>
      <c r="AB178" s="3"/>
      <c r="AC178" s="41"/>
      <c r="AD178" s="41"/>
      <c r="AE178" s="3"/>
      <c r="AF178" s="3" t="s">
        <v>1396</v>
      </c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</row>
    <row r="179" spans="1:112" x14ac:dyDescent="0.25">
      <c r="A179" s="3">
        <v>143</v>
      </c>
      <c r="B179" s="13" t="s">
        <v>811</v>
      </c>
      <c r="C179" s="3"/>
      <c r="D179" s="17" t="s">
        <v>645</v>
      </c>
      <c r="E179" s="3" t="s">
        <v>724</v>
      </c>
      <c r="F179" s="17" t="s">
        <v>903</v>
      </c>
      <c r="G179" s="3"/>
      <c r="H179" s="17" t="s">
        <v>987</v>
      </c>
      <c r="I179" s="31" t="s">
        <v>1056</v>
      </c>
      <c r="J179" s="3" t="s">
        <v>556</v>
      </c>
      <c r="K179" s="27"/>
      <c r="L179" s="3"/>
      <c r="M179" s="3"/>
      <c r="N179" s="3"/>
      <c r="O179" s="3"/>
      <c r="P179" s="3"/>
      <c r="Q179" s="39"/>
      <c r="R179" s="39"/>
      <c r="S179" s="39"/>
      <c r="T179" s="3"/>
      <c r="U179" s="3"/>
      <c r="V179" s="3"/>
      <c r="W179" s="3"/>
      <c r="X179" s="3"/>
      <c r="Y179" s="3"/>
      <c r="Z179" s="3"/>
      <c r="AA179" s="3"/>
      <c r="AB179" s="3"/>
      <c r="AC179" s="41"/>
      <c r="AD179" s="41"/>
      <c r="AE179" s="3"/>
      <c r="AF179" s="3" t="s">
        <v>1396</v>
      </c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</row>
    <row r="180" spans="1:112" x14ac:dyDescent="0.25">
      <c r="A180" s="3">
        <v>82</v>
      </c>
      <c r="B180" s="13" t="s">
        <v>812</v>
      </c>
      <c r="C180" s="3"/>
      <c r="D180" s="17" t="s">
        <v>646</v>
      </c>
      <c r="E180" s="3" t="s">
        <v>904</v>
      </c>
      <c r="F180" s="17" t="s">
        <v>725</v>
      </c>
      <c r="G180" s="3"/>
      <c r="H180" s="17" t="s">
        <v>988</v>
      </c>
      <c r="I180" s="31" t="s">
        <v>1057</v>
      </c>
      <c r="J180" s="3" t="s">
        <v>556</v>
      </c>
      <c r="K180" s="27"/>
      <c r="L180" s="3"/>
      <c r="M180" s="3"/>
      <c r="N180" s="3"/>
      <c r="O180" s="3"/>
      <c r="P180" s="3"/>
      <c r="Q180" s="39"/>
      <c r="R180" s="39"/>
      <c r="S180" s="39"/>
      <c r="T180" s="3"/>
      <c r="U180" s="3"/>
      <c r="V180" s="3"/>
      <c r="W180" s="3"/>
      <c r="X180" s="3"/>
      <c r="Y180" s="3"/>
      <c r="Z180" s="3"/>
      <c r="AA180" s="3"/>
      <c r="AB180" s="3"/>
      <c r="AC180" s="41"/>
      <c r="AD180" s="41"/>
      <c r="AE180" s="3"/>
      <c r="AF180" s="3" t="s">
        <v>1396</v>
      </c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</row>
    <row r="181" spans="1:112" x14ac:dyDescent="0.25">
      <c r="A181" s="3">
        <v>86</v>
      </c>
      <c r="B181" s="13" t="s">
        <v>813</v>
      </c>
      <c r="C181" s="3"/>
      <c r="D181" s="17" t="s">
        <v>647</v>
      </c>
      <c r="E181" s="3" t="s">
        <v>905</v>
      </c>
      <c r="F181" s="17" t="s">
        <v>726</v>
      </c>
      <c r="G181" s="3"/>
      <c r="H181" s="17" t="s">
        <v>989</v>
      </c>
      <c r="I181" s="24" t="s">
        <v>1003</v>
      </c>
      <c r="J181" s="3" t="s">
        <v>556</v>
      </c>
      <c r="K181" s="27"/>
      <c r="L181" s="3"/>
      <c r="M181" s="3"/>
      <c r="N181" s="3"/>
      <c r="O181" s="3"/>
      <c r="P181" s="3"/>
      <c r="Q181" s="39"/>
      <c r="R181" s="39"/>
      <c r="S181" s="39"/>
      <c r="T181" s="3"/>
      <c r="U181" s="3"/>
      <c r="V181" s="3"/>
      <c r="W181" s="3"/>
      <c r="X181" s="3"/>
      <c r="Y181" s="3"/>
      <c r="Z181" s="3"/>
      <c r="AA181" s="3"/>
      <c r="AB181" s="3"/>
      <c r="AC181" s="41"/>
      <c r="AD181" s="41"/>
      <c r="AE181" s="3"/>
      <c r="AF181" s="3" t="s">
        <v>1396</v>
      </c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</row>
    <row r="182" spans="1:112" x14ac:dyDescent="0.25">
      <c r="A182" s="3">
        <v>109</v>
      </c>
      <c r="B182" s="22" t="s">
        <v>814</v>
      </c>
      <c r="C182" s="3"/>
      <c r="D182" s="16" t="s">
        <v>648</v>
      </c>
      <c r="E182" s="3" t="s">
        <v>908</v>
      </c>
      <c r="F182" s="16" t="s">
        <v>727</v>
      </c>
      <c r="G182" s="3"/>
      <c r="H182" s="17" t="s">
        <v>990</v>
      </c>
      <c r="I182" s="25" t="s">
        <v>1023</v>
      </c>
      <c r="J182" s="3" t="s">
        <v>561</v>
      </c>
      <c r="K182" s="27"/>
      <c r="L182" s="3"/>
      <c r="M182" s="3"/>
      <c r="N182" s="3"/>
      <c r="O182" s="3"/>
      <c r="P182" s="3"/>
      <c r="Q182" s="39"/>
      <c r="R182" s="39"/>
      <c r="S182" s="39"/>
      <c r="T182" s="3"/>
      <c r="U182" s="3"/>
      <c r="V182" s="3"/>
      <c r="W182" s="3"/>
      <c r="X182" s="3"/>
      <c r="Y182" s="3"/>
      <c r="Z182" s="3"/>
      <c r="AA182" s="3"/>
      <c r="AB182" s="3"/>
      <c r="AC182" s="41"/>
      <c r="AD182" s="41"/>
      <c r="AE182" s="3"/>
      <c r="AF182" s="3" t="s">
        <v>1396</v>
      </c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</row>
    <row r="183" spans="1:112" x14ac:dyDescent="0.25">
      <c r="A183" s="3">
        <v>178</v>
      </c>
      <c r="B183" s="13" t="s">
        <v>815</v>
      </c>
      <c r="C183" s="3"/>
      <c r="D183" s="17" t="s">
        <v>649</v>
      </c>
      <c r="E183" s="3" t="s">
        <v>906</v>
      </c>
      <c r="F183" s="17" t="s">
        <v>728</v>
      </c>
      <c r="G183" s="3"/>
      <c r="H183" s="17" t="s">
        <v>991</v>
      </c>
      <c r="I183" s="31" t="s">
        <v>1058</v>
      </c>
      <c r="J183" s="3" t="s">
        <v>556</v>
      </c>
      <c r="K183" s="27"/>
      <c r="L183" s="3"/>
      <c r="M183" s="3"/>
      <c r="N183" s="3"/>
      <c r="O183" s="3"/>
      <c r="P183" s="3"/>
      <c r="Q183" s="39"/>
      <c r="R183" s="39"/>
      <c r="S183" s="39"/>
      <c r="T183" s="3"/>
      <c r="U183" s="3"/>
      <c r="V183" s="3"/>
      <c r="W183" s="3"/>
      <c r="X183" s="3"/>
      <c r="Y183" s="3"/>
      <c r="Z183" s="3"/>
      <c r="AA183" s="3"/>
      <c r="AB183" s="3"/>
      <c r="AC183" s="41"/>
      <c r="AD183" s="41"/>
      <c r="AE183" s="3"/>
      <c r="AF183" s="3" t="s">
        <v>1396</v>
      </c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</row>
    <row r="184" spans="1:112" x14ac:dyDescent="0.25">
      <c r="A184" s="3">
        <v>159</v>
      </c>
      <c r="B184" s="22" t="s">
        <v>816</v>
      </c>
      <c r="C184" s="3"/>
      <c r="D184" s="16" t="s">
        <v>650</v>
      </c>
      <c r="E184" s="3" t="s">
        <v>907</v>
      </c>
      <c r="F184" s="16" t="s">
        <v>729</v>
      </c>
      <c r="G184" s="3"/>
      <c r="H184" s="17" t="s">
        <v>992</v>
      </c>
      <c r="I184" s="31" t="s">
        <v>488</v>
      </c>
      <c r="J184" s="3" t="s">
        <v>556</v>
      </c>
      <c r="K184" s="27"/>
      <c r="L184" s="3"/>
      <c r="M184" s="3"/>
      <c r="N184" s="3"/>
      <c r="O184" s="3"/>
      <c r="P184" s="3"/>
      <c r="Q184" s="39"/>
      <c r="R184" s="39"/>
      <c r="S184" s="39"/>
      <c r="T184" s="3"/>
      <c r="U184" s="3"/>
      <c r="V184" s="3"/>
      <c r="W184" s="3"/>
      <c r="X184" s="3"/>
      <c r="Y184" s="3"/>
      <c r="Z184" s="3"/>
      <c r="AA184" s="3"/>
      <c r="AB184" s="3"/>
      <c r="AC184" s="41"/>
      <c r="AD184" s="41"/>
      <c r="AE184" s="3"/>
      <c r="AF184" s="3" t="s">
        <v>1396</v>
      </c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</row>
  </sheetData>
  <autoFilter ref="AG2:AG184" xr:uid="{00000000-0001-0000-0000-000000000000}"/>
  <conditionalFormatting sqref="B3:B4 K15:K16 B16 B25 K25 K29:K33 K39:K45 B61:B62 K61:K62 K68:K81">
    <cfRule type="containsBlanks" dxfId="18" priority="45">
      <formula>LEN(TRIM(B3))=0</formula>
    </cfRule>
  </conditionalFormatting>
  <conditionalFormatting sqref="B7">
    <cfRule type="containsBlanks" dxfId="17" priority="19">
      <formula>LEN(TRIM(B7))=0</formula>
    </cfRule>
  </conditionalFormatting>
  <conditionalFormatting sqref="B19:B22">
    <cfRule type="containsBlanks" dxfId="16" priority="14">
      <formula>LEN(TRIM(B19))=0</formula>
    </cfRule>
  </conditionalFormatting>
  <conditionalFormatting sqref="B29:B33">
    <cfRule type="containsBlanks" dxfId="15" priority="16">
      <formula>LEN(TRIM(B29))=0</formula>
    </cfRule>
  </conditionalFormatting>
  <conditionalFormatting sqref="B36:B37">
    <cfRule type="containsBlanks" dxfId="14" priority="41">
      <formula>LEN(TRIM(B36))=0</formula>
    </cfRule>
  </conditionalFormatting>
  <conditionalFormatting sqref="B38 B101:B167">
    <cfRule type="containsBlanks" dxfId="13" priority="33">
      <formula>LEN(TRIM(B38))=0</formula>
    </cfRule>
  </conditionalFormatting>
  <conditionalFormatting sqref="B39:B46">
    <cfRule type="containsBlanks" dxfId="12" priority="10">
      <formula>LEN(TRIM(B39))=0</formula>
    </cfRule>
  </conditionalFormatting>
  <conditionalFormatting sqref="B49:B59">
    <cfRule type="containsBlanks" dxfId="11" priority="8">
      <formula>LEN(TRIM(B49))=0</formula>
    </cfRule>
  </conditionalFormatting>
  <conditionalFormatting sqref="B68:B81">
    <cfRule type="containsBlanks" dxfId="10" priority="6">
      <formula>LEN(TRIM(B68))=0</formula>
    </cfRule>
  </conditionalFormatting>
  <conditionalFormatting sqref="B85:B92">
    <cfRule type="containsBlanks" dxfId="9" priority="5">
      <formula>LEN(TRIM(B85))=0</formula>
    </cfRule>
  </conditionalFormatting>
  <conditionalFormatting sqref="B93:B95 B97 B169:B170">
    <cfRule type="containsBlanks" dxfId="8" priority="4">
      <formula>LEN(TRIM(B93))=0</formula>
    </cfRule>
  </conditionalFormatting>
  <conditionalFormatting sqref="B99">
    <cfRule type="containsBlanks" dxfId="7" priority="3">
      <formula>LEN(TRIM(B99))=0</formula>
    </cfRule>
  </conditionalFormatting>
  <conditionalFormatting sqref="B172:B184">
    <cfRule type="containsBlanks" dxfId="6" priority="2">
      <formula>LEN(TRIM(B172))=0</formula>
    </cfRule>
  </conditionalFormatting>
  <conditionalFormatting sqref="K3:K4">
    <cfRule type="containsBlanks" dxfId="5" priority="31">
      <formula>LEN(TRIM(K3))=0</formula>
    </cfRule>
  </conditionalFormatting>
  <conditionalFormatting sqref="K19:K22">
    <cfRule type="containsBlanks" dxfId="4" priority="29">
      <formula>LEN(TRIM(K19))=0</formula>
    </cfRule>
  </conditionalFormatting>
  <conditionalFormatting sqref="K36:K37">
    <cfRule type="containsBlanks" dxfId="3" priority="26">
      <formula>LEN(TRIM(K36))=0</formula>
    </cfRule>
  </conditionalFormatting>
  <conditionalFormatting sqref="K49:K59">
    <cfRule type="containsBlanks" dxfId="2" priority="23">
      <formula>LEN(TRIM(K49))=0</formula>
    </cfRule>
  </conditionalFormatting>
  <conditionalFormatting sqref="K85:K92">
    <cfRule type="containsBlanks" dxfId="1" priority="20">
      <formula>LEN(TRIM(K85))=0</formula>
    </cfRule>
  </conditionalFormatting>
  <conditionalFormatting sqref="K134">
    <cfRule type="containsBlanks" dxfId="0" priority="1">
      <formula>LEN(TRIM(K134))=0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S</dc:creator>
  <cp:lastModifiedBy>Daisy Daisy</cp:lastModifiedBy>
  <dcterms:created xsi:type="dcterms:W3CDTF">2026-10-06T05:35:15Z</dcterms:created>
  <dcterms:modified xsi:type="dcterms:W3CDTF">2026-10-20T02:14:11Z</dcterms:modified>
</cp:coreProperties>
</file>